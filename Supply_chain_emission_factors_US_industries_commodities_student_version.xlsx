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y_chain_emission_factors_U" sheetId="1" r:id="rId5"/>
    <sheet state="visible" name="Sorted Supply_chain_emission_fa" sheetId="2" r:id="rId6"/>
  </sheets>
  <definedNames/>
  <calcPr/>
</workbook>
</file>

<file path=xl/sharedStrings.xml><?xml version="1.0" encoding="utf-8"?>
<sst xmlns="http://schemas.openxmlformats.org/spreadsheetml/2006/main" count="1875" uniqueCount="127">
  <si>
    <t>Commodity Code</t>
  </si>
  <si>
    <t>Commodity Name</t>
  </si>
  <si>
    <t>Substance</t>
  </si>
  <si>
    <t>Unit, purchaser price</t>
  </si>
  <si>
    <t>Supply Chain Emission Factors without Margins</t>
  </si>
  <si>
    <t>Margins of Supply Chain Emission Factors</t>
  </si>
  <si>
    <t>Unit</t>
  </si>
  <si>
    <t>Supply Chain Emission Factors with Margins</t>
  </si>
  <si>
    <t>purchaser price</t>
  </si>
  <si>
    <t>111CA~Farms~carbon dioxide~kg/2018 USD, purchaser price~0.467~0.046~0.513</t>
  </si>
  <si>
    <t>111CA</t>
  </si>
  <si>
    <t>Farms</t>
  </si>
  <si>
    <t>carbon dioxide</t>
  </si>
  <si>
    <t>kg/2018 USD</t>
  </si>
  <si>
    <t>methane</t>
  </si>
  <si>
    <t>nitrous oxide</t>
  </si>
  <si>
    <t>other GHGs</t>
  </si>
  <si>
    <t>kg CO2e/2018 USD</t>
  </si>
  <si>
    <t>113FF</t>
  </si>
  <si>
    <t>Forestry and fishing with related activities</t>
  </si>
  <si>
    <t>111CA~Farms~methane~kg/2018 USD, purchaser price~0.025~0~0.026</t>
  </si>
  <si>
    <t>Oil and gas extraction</t>
  </si>
  <si>
    <t>111CA~Farms~nitrous oxide~kg/2018 USD, purchaser price~0.002~0~0.002</t>
  </si>
  <si>
    <t>Mining except oil and gas</t>
  </si>
  <si>
    <t>Support activities for mining</t>
  </si>
  <si>
    <t>111CA~Farms~other GHGs~kg CO2e/2018 USD, purchaser price~0.004~0~0.004</t>
  </si>
  <si>
    <t>113FF~Forestry and fishing with related activities~carbon dioxide~kg/2018 USD, purchaser price~0.199~0.024~0.223</t>
  </si>
  <si>
    <t>Utilities</t>
  </si>
  <si>
    <t>113FF~Forestry and fishing with related activities~methane~kg/2018 USD, purchaser price~0.003~0~0.003</t>
  </si>
  <si>
    <t>113FF~Forestry and fishing with related activities~nitrous oxide~kg/2018 USD, purchaser price~0~0~0</t>
  </si>
  <si>
    <t>Construction</t>
  </si>
  <si>
    <t>113FF~Forestry and fishing with related activities~other GHGs~kg CO2e/2018 USD, purchaser price~0.002~0~0.002</t>
  </si>
  <si>
    <t>211~Oil and gas extraction~carbon dioxide~kg/2018 USD, purchaser price~0.508~0.062~0.569</t>
  </si>
  <si>
    <t>311FT</t>
  </si>
  <si>
    <t>Food and beverage and tobacco products</t>
  </si>
  <si>
    <t>211~Oil and gas extraction~methane~kg/2018 USD, purchaser price~0.028~0.001~0.028</t>
  </si>
  <si>
    <t>313TT</t>
  </si>
  <si>
    <t>Textile mills and textile product mills</t>
  </si>
  <si>
    <t>211~Oil and gas extraction~nitrous oxide~kg/2018 USD, purchaser price~0~0~0</t>
  </si>
  <si>
    <t>211~Oil and gas extraction~other GHGs~kg CO2e/2018 USD, purchaser price~0.004~0~0.004</t>
  </si>
  <si>
    <t>315AL</t>
  </si>
  <si>
    <t>Apparel and leather and allied products</t>
  </si>
  <si>
    <t>212~Mining except oil and gas~carbon dioxide~kg/2018 USD, purchaser price~0.639~0.11~0.749</t>
  </si>
  <si>
    <t>212~Mining except oil and gas~methane~kg/2018 USD, purchaser price~0.022~0.001~0.023</t>
  </si>
  <si>
    <t>Wood products</t>
  </si>
  <si>
    <t>212~Mining except oil and gas~nitrous oxide~kg/2018 USD, purchaser price~0~0~0</t>
  </si>
  <si>
    <t>212~Mining except oil and gas~other GHGs~kg CO2e/2018 USD, purchaser price~0.005~0~0.005</t>
  </si>
  <si>
    <t>Paper products</t>
  </si>
  <si>
    <t>213~Support activities for mining~carbon dioxide~kg/2018 USD, purchaser price~0.445~0~0.445</t>
  </si>
  <si>
    <t>213~Support activities for mining~methane~kg/2018 USD, purchaser price~0.013~0~0.013</t>
  </si>
  <si>
    <t>Printing and related support activities</t>
  </si>
  <si>
    <t>213~Support activities for mining~nitrous oxide~kg/2018 USD, purchaser price~0~0~0</t>
  </si>
  <si>
    <t>213~Support activities for mining~other GHGs~kg CO2e/2018 USD, purchaser price~0.004~0~0.004</t>
  </si>
  <si>
    <t>Petroleum and coal products</t>
  </si>
  <si>
    <t>kg/2018 USD, purchaser price</t>
  </si>
  <si>
    <t>Chemical products</t>
  </si>
  <si>
    <t>kg CO2e/2018 USD, purchaser price</t>
  </si>
  <si>
    <t>Plastics and rubber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</si>
  <si>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</si>
  <si>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</si>
  <si>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</si>
  <si>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</si>
  <si>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</si>
  <si>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 appliances and components</t>
  </si>
  <si>
    <t>3361MV</t>
  </si>
  <si>
    <t>Motor vehicles trailers and parts</t>
  </si>
  <si>
    <t>3364OT</t>
  </si>
  <si>
    <t>Other transportation equipment</t>
  </si>
  <si>
    <t>Furniture and related products</t>
  </si>
  <si>
    <t>Miscellaneous manufacturing</t>
  </si>
  <si>
    <t>Wholesale trade</t>
  </si>
  <si>
    <t>Motor vehicle and parts dealers</t>
  </si>
  <si>
    <t>Food and beverage stores</t>
  </si>
  <si>
    <t>General merchandise stores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</si>
  <si>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</si>
  <si>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</si>
  <si>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</si>
  <si>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</si>
  <si>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</si>
  <si>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</si>
  <si>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487OS</t>
  </si>
  <si>
    <t>Other transportation and support activities</t>
  </si>
  <si>
    <t>Warehousing and storage</t>
  </si>
  <si>
    <t>4A0</t>
  </si>
  <si>
    <t>Other retail</t>
  </si>
  <si>
    <t>Publishing industries except internet (includes software)</t>
  </si>
  <si>
    <t>Motion picture and sound recording industries</t>
  </si>
  <si>
    <t>Broadcasting and telecommunications</t>
  </si>
  <si>
    <t>Data processing includes internet publishing and other information services</t>
  </si>
  <si>
    <t>521CI</t>
  </si>
  <si>
    <t>Federal Reserve banks with credit intermediation and related activities</t>
  </si>
  <si>
    <t>Securities with commodity contracts and investments</t>
  </si>
  <si>
    <t>Insurance carriers and related activities</t>
  </si>
  <si>
    <t>Trust funds and other financial vehicles</t>
  </si>
  <si>
    <t>532RL</t>
  </si>
  <si>
    <t>Rental and leasing services and lessors of intangible assets</t>
  </si>
  <si>
    <t>Legal services</t>
  </si>
  <si>
    <t>5412OP</t>
  </si>
  <si>
    <t>Miscellaneous professional which includes scientific and technical services</t>
  </si>
  <si>
    <t>Computer systems design and related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</si>
  <si>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</si>
  <si>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</si>
  <si>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</si>
  <si>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</si>
  <si>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</si>
  <si>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Hospitals|carbon dioxide|kg/2018 USD, purchaser price|0.144</t>
  </si>
  <si>
    <t>Hospitals|methane|kg/2018 USD, purchaser price|0.001</t>
  </si>
  <si>
    <t>Hospitals|nitrous oxide|kg/2018 USD, purchaser price|0</t>
  </si>
  <si>
    <t>Hospitals|other GHGs|kg CO2e/2018 USD, purchaser price|0.003</t>
  </si>
  <si>
    <t>Nursing and residential care facilities|carbon dioxide|kg/2018 USD, purchaser price|0.14</t>
  </si>
  <si>
    <t>Nursing and residential care facilities|methane|kg/2018 USD, purchaser price|0.001</t>
  </si>
  <si>
    <t>Nursing and residential care facilities|nitrous oxide|kg/2018 USD, purchaser price|0</t>
  </si>
  <si>
    <t>Nursing and residential care facilities|other GHGs|kg CO2e/2018 USD, purchaser price|0.005</t>
  </si>
  <si>
    <t>Social assistance|carbon dioxide|kg/2018 USD, purchaser price|0.135</t>
  </si>
  <si>
    <t>Social assistance|methane|kg/2018 USD, purchaser price|0.001</t>
  </si>
  <si>
    <t>Social assistance|nitrous oxide|kg/2018 USD, purchaser price|0</t>
  </si>
  <si>
    <t>Social assistance|other GHGs|kg CO2e/2018 USD, purchaser price|0.004</t>
  </si>
  <si>
    <t>711AS</t>
  </si>
  <si>
    <t>Performing arts which includes spectator sports and museums</t>
  </si>
  <si>
    <t>Amusements and  gambling  which inludes recreation industries</t>
  </si>
  <si>
    <t>Accommodation</t>
  </si>
  <si>
    <t>Food services and drinking places</t>
  </si>
  <si>
    <t>Other services except government</t>
  </si>
  <si>
    <t>HS</t>
  </si>
  <si>
    <t>Housing</t>
  </si>
  <si>
    <t>ORE</t>
  </si>
  <si>
    <t>Other real estate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</si>
</sst>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1" t="s">
        <v>9</v>
      </c>
      <c r="H2" s="2" t="str">
        <f>IFERROR(__xludf.DUMMYFUNCTION("SPLIT(A2, ""~;"")"),"111CA")</f>
        <v>111CA</v>
      </c>
      <c r="I2" s="2" t="str">
        <f>IFERROR(__xludf.DUMMYFUNCTION("""COMPUTED_VALUE"""),"Farms")</f>
        <v>Farms</v>
      </c>
      <c r="J2" s="2" t="str">
        <f>IFERROR(__xludf.DUMMYFUNCTION("""COMPUTED_VALUE"""),"carbon dioxide")</f>
        <v>carbon dioxide</v>
      </c>
      <c r="K2" s="2" t="str">
        <f>IFERROR(__xludf.DUMMYFUNCTION("""COMPUTED_VALUE"""),"kg/2018 USD, purchaser price")</f>
        <v>kg/2018 USD, purchaser price</v>
      </c>
      <c r="L2" s="2">
        <f>IFERROR(__xludf.DUMMYFUNCTION("""COMPUTED_VALUE"""),0.467)</f>
        <v>0.467</v>
      </c>
      <c r="M2" s="2">
        <f>IFERROR(__xludf.DUMMYFUNCTION("""COMPUTED_VALUE"""),0.046)</f>
        <v>0.046</v>
      </c>
      <c r="N2" s="2">
        <f>IFERROR(__xludf.DUMMYFUNCTION("""COMPUTED_VALUE"""),0.513)</f>
        <v>0.513</v>
      </c>
    </row>
    <row r="3">
      <c r="A3" s="1" t="s">
        <v>20</v>
      </c>
      <c r="H3" s="2" t="str">
        <f>IFERROR(__xludf.DUMMYFUNCTION("SPLIT(A3, ""~;"")"),"111CA")</f>
        <v>111CA</v>
      </c>
      <c r="I3" s="2" t="str">
        <f>IFERROR(__xludf.DUMMYFUNCTION("""COMPUTED_VALUE"""),"Farms")</f>
        <v>Farms</v>
      </c>
      <c r="J3" s="2" t="str">
        <f>IFERROR(__xludf.DUMMYFUNCTION("""COMPUTED_VALUE"""),"methane")</f>
        <v>methane</v>
      </c>
      <c r="K3" s="2" t="str">
        <f>IFERROR(__xludf.DUMMYFUNCTION("""COMPUTED_VALUE"""),"kg/2018 USD, purchaser price")</f>
        <v>kg/2018 USD, purchaser price</v>
      </c>
      <c r="L3" s="2">
        <f>IFERROR(__xludf.DUMMYFUNCTION("""COMPUTED_VALUE"""),0.025)</f>
        <v>0.025</v>
      </c>
      <c r="M3" s="2">
        <f>IFERROR(__xludf.DUMMYFUNCTION("""COMPUTED_VALUE"""),0.0)</f>
        <v>0</v>
      </c>
      <c r="N3" s="2">
        <f>IFERROR(__xludf.DUMMYFUNCTION("""COMPUTED_VALUE"""),0.026)</f>
        <v>0.026</v>
      </c>
    </row>
    <row r="4">
      <c r="A4" s="1" t="s">
        <v>22</v>
      </c>
      <c r="H4" s="2" t="str">
        <f>IFERROR(__xludf.DUMMYFUNCTION("SPLIT(A4, ""~;"")"),"111CA")</f>
        <v>111CA</v>
      </c>
      <c r="I4" s="2" t="str">
        <f>IFERROR(__xludf.DUMMYFUNCTION("""COMPUTED_VALUE"""),"Farms")</f>
        <v>Farms</v>
      </c>
      <c r="J4" s="2" t="str">
        <f>IFERROR(__xludf.DUMMYFUNCTION("""COMPUTED_VALUE"""),"nitrous oxide")</f>
        <v>nitrous oxide</v>
      </c>
      <c r="K4" s="2" t="str">
        <f>IFERROR(__xludf.DUMMYFUNCTION("""COMPUTED_VALUE"""),"kg/2018 USD, purchaser price")</f>
        <v>kg/2018 USD, purchaser price</v>
      </c>
      <c r="L4" s="2">
        <f>IFERROR(__xludf.DUMMYFUNCTION("""COMPUTED_VALUE"""),0.002)</f>
        <v>0.002</v>
      </c>
      <c r="M4" s="2">
        <f>IFERROR(__xludf.DUMMYFUNCTION("""COMPUTED_VALUE"""),0.0)</f>
        <v>0</v>
      </c>
      <c r="N4" s="2">
        <f>IFERROR(__xludf.DUMMYFUNCTION("""COMPUTED_VALUE"""),0.002)</f>
        <v>0.002</v>
      </c>
    </row>
    <row r="5">
      <c r="A5" s="1" t="s">
        <v>25</v>
      </c>
      <c r="H5" s="2" t="str">
        <f>IFERROR(__xludf.DUMMYFUNCTION("SPLIT(A5, ""~;"")"),"111CA")</f>
        <v>111CA</v>
      </c>
      <c r="I5" s="2" t="str">
        <f>IFERROR(__xludf.DUMMYFUNCTION("""COMPUTED_VALUE"""),"Farms")</f>
        <v>Farms</v>
      </c>
      <c r="J5" s="2" t="str">
        <f>IFERROR(__xludf.DUMMYFUNCTION("""COMPUTED_VALUE"""),"other GHGs")</f>
        <v>other GHGs</v>
      </c>
      <c r="K5" s="2" t="str">
        <f>IFERROR(__xludf.DUMMYFUNCTION("""COMPUTED_VALUE"""),"kg CO2e/2018 USD, purchaser price")</f>
        <v>kg CO2e/2018 USD, purchaser price</v>
      </c>
      <c r="L5" s="2">
        <f>IFERROR(__xludf.DUMMYFUNCTION("""COMPUTED_VALUE"""),0.004)</f>
        <v>0.004</v>
      </c>
      <c r="M5" s="2">
        <f>IFERROR(__xludf.DUMMYFUNCTION("""COMPUTED_VALUE"""),0.0)</f>
        <v>0</v>
      </c>
      <c r="N5" s="2">
        <f>IFERROR(__xludf.DUMMYFUNCTION("""COMPUTED_VALUE"""),0.004)</f>
        <v>0.004</v>
      </c>
    </row>
    <row r="6">
      <c r="A6" s="1" t="s">
        <v>26</v>
      </c>
      <c r="H6" s="2" t="str">
        <f>IFERROR(__xludf.DUMMYFUNCTION("SPLIT(A6, ""~;"")"),"113FF")</f>
        <v>113FF</v>
      </c>
      <c r="I6" s="2" t="str">
        <f>IFERROR(__xludf.DUMMYFUNCTION("""COMPUTED_VALUE"""),"Forestry and fishing with related activities")</f>
        <v>Forestry and fishing with related activities</v>
      </c>
      <c r="J6" s="2" t="str">
        <f>IFERROR(__xludf.DUMMYFUNCTION("""COMPUTED_VALUE"""),"carbon dioxide")</f>
        <v>carbon dioxide</v>
      </c>
      <c r="K6" s="2" t="str">
        <f>IFERROR(__xludf.DUMMYFUNCTION("""COMPUTED_VALUE"""),"kg/2018 USD, purchaser price")</f>
        <v>kg/2018 USD, purchaser price</v>
      </c>
      <c r="L6" s="2">
        <f>IFERROR(__xludf.DUMMYFUNCTION("""COMPUTED_VALUE"""),0.199)</f>
        <v>0.199</v>
      </c>
      <c r="M6" s="2">
        <f>IFERROR(__xludf.DUMMYFUNCTION("""COMPUTED_VALUE"""),0.024)</f>
        <v>0.024</v>
      </c>
      <c r="N6" s="2">
        <f>IFERROR(__xludf.DUMMYFUNCTION("""COMPUTED_VALUE"""),0.223)</f>
        <v>0.223</v>
      </c>
    </row>
    <row r="7">
      <c r="A7" s="1" t="s">
        <v>28</v>
      </c>
      <c r="H7" s="2" t="str">
        <f>IFERROR(__xludf.DUMMYFUNCTION("SPLIT(A7, ""~;"")"),"113FF")</f>
        <v>113FF</v>
      </c>
      <c r="I7" s="2" t="str">
        <f>IFERROR(__xludf.DUMMYFUNCTION("""COMPUTED_VALUE"""),"Forestry and fishing with related activities")</f>
        <v>Forestry and fishing with related activities</v>
      </c>
      <c r="J7" s="2" t="str">
        <f>IFERROR(__xludf.DUMMYFUNCTION("""COMPUTED_VALUE"""),"methane")</f>
        <v>methane</v>
      </c>
      <c r="K7" s="2" t="str">
        <f>IFERROR(__xludf.DUMMYFUNCTION("""COMPUTED_VALUE"""),"kg/2018 USD, purchaser price")</f>
        <v>kg/2018 USD, purchaser price</v>
      </c>
      <c r="L7" s="2">
        <f>IFERROR(__xludf.DUMMYFUNCTION("""COMPUTED_VALUE"""),0.003)</f>
        <v>0.003</v>
      </c>
      <c r="M7" s="2">
        <f>IFERROR(__xludf.DUMMYFUNCTION("""COMPUTED_VALUE"""),0.0)</f>
        <v>0</v>
      </c>
      <c r="N7" s="2">
        <f>IFERROR(__xludf.DUMMYFUNCTION("""COMPUTED_VALUE"""),0.003)</f>
        <v>0.003</v>
      </c>
    </row>
    <row r="8">
      <c r="A8" s="1" t="s">
        <v>29</v>
      </c>
      <c r="H8" s="2" t="str">
        <f>IFERROR(__xludf.DUMMYFUNCTION("SPLIT(A8, ""~;"")"),"113FF")</f>
        <v>113FF</v>
      </c>
      <c r="I8" s="2" t="str">
        <f>IFERROR(__xludf.DUMMYFUNCTION("""COMPUTED_VALUE"""),"Forestry and fishing with related activities")</f>
        <v>Forestry and fishing with related activities</v>
      </c>
      <c r="J8" s="2" t="str">
        <f>IFERROR(__xludf.DUMMYFUNCTION("""COMPUTED_VALUE"""),"nitrous oxide")</f>
        <v>nitrous oxide</v>
      </c>
      <c r="K8" s="2" t="str">
        <f>IFERROR(__xludf.DUMMYFUNCTION("""COMPUTED_VALUE"""),"kg/2018 USD, purchaser price")</f>
        <v>kg/2018 USD, purchaser price</v>
      </c>
      <c r="L8" s="2">
        <f>IFERROR(__xludf.DUMMYFUNCTION("""COMPUTED_VALUE"""),0.0)</f>
        <v>0</v>
      </c>
      <c r="M8" s="2">
        <f>IFERROR(__xludf.DUMMYFUNCTION("""COMPUTED_VALUE"""),0.0)</f>
        <v>0</v>
      </c>
      <c r="N8" s="2">
        <f>IFERROR(__xludf.DUMMYFUNCTION("""COMPUTED_VALUE"""),0.0)</f>
        <v>0</v>
      </c>
    </row>
    <row r="9">
      <c r="A9" s="1" t="s">
        <v>31</v>
      </c>
      <c r="H9" s="2" t="str">
        <f>IFERROR(__xludf.DUMMYFUNCTION("SPLIT(A9, ""~;"")"),"113FF")</f>
        <v>113FF</v>
      </c>
      <c r="I9" s="2" t="str">
        <f>IFERROR(__xludf.DUMMYFUNCTION("""COMPUTED_VALUE"""),"Forestry and fishing with related activities")</f>
        <v>Forestry and fishing with related activities</v>
      </c>
      <c r="J9" s="2" t="str">
        <f>IFERROR(__xludf.DUMMYFUNCTION("""COMPUTED_VALUE"""),"other GHGs")</f>
        <v>other GHGs</v>
      </c>
      <c r="K9" s="2" t="str">
        <f>IFERROR(__xludf.DUMMYFUNCTION("""COMPUTED_VALUE"""),"kg CO2e/2018 USD, purchaser price")</f>
        <v>kg CO2e/2018 USD, purchaser price</v>
      </c>
      <c r="L9" s="2">
        <f>IFERROR(__xludf.DUMMYFUNCTION("""COMPUTED_VALUE"""),0.002)</f>
        <v>0.002</v>
      </c>
      <c r="M9" s="2">
        <f>IFERROR(__xludf.DUMMYFUNCTION("""COMPUTED_VALUE"""),0.0)</f>
        <v>0</v>
      </c>
      <c r="N9" s="2">
        <f>IFERROR(__xludf.DUMMYFUNCTION("""COMPUTED_VALUE"""),0.002)</f>
        <v>0.002</v>
      </c>
    </row>
    <row r="10">
      <c r="A10" s="1" t="s">
        <v>32</v>
      </c>
      <c r="H10" s="2">
        <f>IFERROR(__xludf.DUMMYFUNCTION("SPLIT(A10, ""~;"")"),211.0)</f>
        <v>211</v>
      </c>
      <c r="I10" s="2" t="str">
        <f>IFERROR(__xludf.DUMMYFUNCTION("""COMPUTED_VALUE"""),"Oil and gas extraction")</f>
        <v>Oil and gas extraction</v>
      </c>
      <c r="J10" s="2" t="str">
        <f>IFERROR(__xludf.DUMMYFUNCTION("""COMPUTED_VALUE"""),"carbon dioxide")</f>
        <v>carbon dioxide</v>
      </c>
      <c r="K10" s="2" t="str">
        <f>IFERROR(__xludf.DUMMYFUNCTION("""COMPUTED_VALUE"""),"kg/2018 USD, purchaser price")</f>
        <v>kg/2018 USD, purchaser price</v>
      </c>
      <c r="L10" s="2">
        <f>IFERROR(__xludf.DUMMYFUNCTION("""COMPUTED_VALUE"""),0.508)</f>
        <v>0.508</v>
      </c>
      <c r="M10" s="2">
        <f>IFERROR(__xludf.DUMMYFUNCTION("""COMPUTED_VALUE"""),0.062)</f>
        <v>0.062</v>
      </c>
      <c r="N10" s="2">
        <f>IFERROR(__xludf.DUMMYFUNCTION("""COMPUTED_VALUE"""),0.569)</f>
        <v>0.569</v>
      </c>
    </row>
    <row r="11">
      <c r="A11" s="1" t="s">
        <v>35</v>
      </c>
      <c r="H11" s="2">
        <f>IFERROR(__xludf.DUMMYFUNCTION("SPLIT(A11, ""~;"")"),211.0)</f>
        <v>211</v>
      </c>
      <c r="I11" s="2" t="str">
        <f>IFERROR(__xludf.DUMMYFUNCTION("""COMPUTED_VALUE"""),"Oil and gas extraction")</f>
        <v>Oil and gas extraction</v>
      </c>
      <c r="J11" s="2" t="str">
        <f>IFERROR(__xludf.DUMMYFUNCTION("""COMPUTED_VALUE"""),"methane")</f>
        <v>methane</v>
      </c>
      <c r="K11" s="2" t="str">
        <f>IFERROR(__xludf.DUMMYFUNCTION("""COMPUTED_VALUE"""),"kg/2018 USD, purchaser price")</f>
        <v>kg/2018 USD, purchaser price</v>
      </c>
      <c r="L11" s="2">
        <f>IFERROR(__xludf.DUMMYFUNCTION("""COMPUTED_VALUE"""),0.028)</f>
        <v>0.028</v>
      </c>
      <c r="M11" s="2">
        <f>IFERROR(__xludf.DUMMYFUNCTION("""COMPUTED_VALUE"""),0.001)</f>
        <v>0.001</v>
      </c>
      <c r="N11" s="2">
        <f>IFERROR(__xludf.DUMMYFUNCTION("""COMPUTED_VALUE"""),0.028)</f>
        <v>0.028</v>
      </c>
    </row>
    <row r="12">
      <c r="A12" s="1" t="s">
        <v>38</v>
      </c>
      <c r="H12" s="2">
        <f>IFERROR(__xludf.DUMMYFUNCTION("SPLIT(A12, ""~;"")"),211.0)</f>
        <v>211</v>
      </c>
      <c r="I12" s="2" t="str">
        <f>IFERROR(__xludf.DUMMYFUNCTION("""COMPUTED_VALUE"""),"Oil and gas extraction")</f>
        <v>Oil and gas extraction</v>
      </c>
      <c r="J12" s="2" t="str">
        <f>IFERROR(__xludf.DUMMYFUNCTION("""COMPUTED_VALUE"""),"nitrous oxide")</f>
        <v>nitrous oxide</v>
      </c>
      <c r="K12" s="2" t="str">
        <f>IFERROR(__xludf.DUMMYFUNCTION("""COMPUTED_VALUE"""),"kg/2018 USD, purchaser price")</f>
        <v>kg/2018 USD, purchaser price</v>
      </c>
      <c r="L12" s="2">
        <f>IFERROR(__xludf.DUMMYFUNCTION("""COMPUTED_VALUE"""),0.0)</f>
        <v>0</v>
      </c>
      <c r="M12" s="2">
        <f>IFERROR(__xludf.DUMMYFUNCTION("""COMPUTED_VALUE"""),0.0)</f>
        <v>0</v>
      </c>
      <c r="N12" s="2">
        <f>IFERROR(__xludf.DUMMYFUNCTION("""COMPUTED_VALUE"""),0.0)</f>
        <v>0</v>
      </c>
    </row>
    <row r="13">
      <c r="A13" s="1" t="s">
        <v>39</v>
      </c>
      <c r="H13" s="2">
        <f>IFERROR(__xludf.DUMMYFUNCTION("SPLIT(A13, ""~;"")"),211.0)</f>
        <v>211</v>
      </c>
      <c r="I13" s="2" t="str">
        <f>IFERROR(__xludf.DUMMYFUNCTION("""COMPUTED_VALUE"""),"Oil and gas extraction")</f>
        <v>Oil and gas extraction</v>
      </c>
      <c r="J13" s="2" t="str">
        <f>IFERROR(__xludf.DUMMYFUNCTION("""COMPUTED_VALUE"""),"other GHGs")</f>
        <v>other GHGs</v>
      </c>
      <c r="K13" s="2" t="str">
        <f>IFERROR(__xludf.DUMMYFUNCTION("""COMPUTED_VALUE"""),"kg CO2e/2018 USD, purchaser price")</f>
        <v>kg CO2e/2018 USD, purchaser price</v>
      </c>
      <c r="L13" s="2">
        <f>IFERROR(__xludf.DUMMYFUNCTION("""COMPUTED_VALUE"""),0.004)</f>
        <v>0.004</v>
      </c>
      <c r="M13" s="2">
        <f>IFERROR(__xludf.DUMMYFUNCTION("""COMPUTED_VALUE"""),0.0)</f>
        <v>0</v>
      </c>
      <c r="N13" s="2">
        <f>IFERROR(__xludf.DUMMYFUNCTION("""COMPUTED_VALUE"""),0.004)</f>
        <v>0.004</v>
      </c>
    </row>
    <row r="14">
      <c r="A14" s="1" t="s">
        <v>42</v>
      </c>
      <c r="H14" s="2">
        <f>IFERROR(__xludf.DUMMYFUNCTION("SPLIT(A14, ""~;"")"),212.0)</f>
        <v>212</v>
      </c>
      <c r="I14" s="2" t="str">
        <f>IFERROR(__xludf.DUMMYFUNCTION("""COMPUTED_VALUE"""),"Mining except oil and gas")</f>
        <v>Mining except oil and gas</v>
      </c>
      <c r="J14" s="2" t="str">
        <f>IFERROR(__xludf.DUMMYFUNCTION("""COMPUTED_VALUE"""),"carbon dioxide")</f>
        <v>carbon dioxide</v>
      </c>
      <c r="K14" s="2" t="str">
        <f>IFERROR(__xludf.DUMMYFUNCTION("""COMPUTED_VALUE"""),"kg/2018 USD, purchaser price")</f>
        <v>kg/2018 USD, purchaser price</v>
      </c>
      <c r="L14" s="2">
        <f>IFERROR(__xludf.DUMMYFUNCTION("""COMPUTED_VALUE"""),0.639)</f>
        <v>0.639</v>
      </c>
      <c r="M14" s="2">
        <f>IFERROR(__xludf.DUMMYFUNCTION("""COMPUTED_VALUE"""),0.11)</f>
        <v>0.11</v>
      </c>
      <c r="N14" s="2">
        <f>IFERROR(__xludf.DUMMYFUNCTION("""COMPUTED_VALUE"""),0.749)</f>
        <v>0.749</v>
      </c>
    </row>
    <row r="15">
      <c r="A15" s="1" t="s">
        <v>43</v>
      </c>
      <c r="H15" s="2">
        <f>IFERROR(__xludf.DUMMYFUNCTION("SPLIT(A15, ""~;"")"),212.0)</f>
        <v>212</v>
      </c>
      <c r="I15" s="2" t="str">
        <f>IFERROR(__xludf.DUMMYFUNCTION("""COMPUTED_VALUE"""),"Mining except oil and gas")</f>
        <v>Mining except oil and gas</v>
      </c>
      <c r="J15" s="2" t="str">
        <f>IFERROR(__xludf.DUMMYFUNCTION("""COMPUTED_VALUE"""),"methane")</f>
        <v>methane</v>
      </c>
      <c r="K15" s="2" t="str">
        <f>IFERROR(__xludf.DUMMYFUNCTION("""COMPUTED_VALUE"""),"kg/2018 USD, purchaser price")</f>
        <v>kg/2018 USD, purchaser price</v>
      </c>
      <c r="L15" s="2">
        <f>IFERROR(__xludf.DUMMYFUNCTION("""COMPUTED_VALUE"""),0.022)</f>
        <v>0.022</v>
      </c>
      <c r="M15" s="2">
        <f>IFERROR(__xludf.DUMMYFUNCTION("""COMPUTED_VALUE"""),0.001)</f>
        <v>0.001</v>
      </c>
      <c r="N15" s="2">
        <f>IFERROR(__xludf.DUMMYFUNCTION("""COMPUTED_VALUE"""),0.023)</f>
        <v>0.023</v>
      </c>
    </row>
    <row r="16">
      <c r="A16" s="1" t="s">
        <v>45</v>
      </c>
      <c r="H16" s="2">
        <f>IFERROR(__xludf.DUMMYFUNCTION("SPLIT(A16, ""~;"")"),212.0)</f>
        <v>212</v>
      </c>
      <c r="I16" s="2" t="str">
        <f>IFERROR(__xludf.DUMMYFUNCTION("""COMPUTED_VALUE"""),"Mining except oil and gas")</f>
        <v>Mining except oil and gas</v>
      </c>
      <c r="J16" s="2" t="str">
        <f>IFERROR(__xludf.DUMMYFUNCTION("""COMPUTED_VALUE"""),"nitrous oxide")</f>
        <v>nitrous oxide</v>
      </c>
      <c r="K16" s="2" t="str">
        <f>IFERROR(__xludf.DUMMYFUNCTION("""COMPUTED_VALUE"""),"kg/2018 USD, purchaser price")</f>
        <v>kg/2018 USD, purchaser price</v>
      </c>
      <c r="L16" s="2">
        <f>IFERROR(__xludf.DUMMYFUNCTION("""COMPUTED_VALUE"""),0.0)</f>
        <v>0</v>
      </c>
      <c r="M16" s="2">
        <f>IFERROR(__xludf.DUMMYFUNCTION("""COMPUTED_VALUE"""),0.0)</f>
        <v>0</v>
      </c>
      <c r="N16" s="2">
        <f>IFERROR(__xludf.DUMMYFUNCTION("""COMPUTED_VALUE"""),0.0)</f>
        <v>0</v>
      </c>
    </row>
    <row r="17">
      <c r="A17" s="1" t="s">
        <v>46</v>
      </c>
      <c r="H17" s="2">
        <f>IFERROR(__xludf.DUMMYFUNCTION("SPLIT(A17, ""~;"")"),212.0)</f>
        <v>212</v>
      </c>
      <c r="I17" s="2" t="str">
        <f>IFERROR(__xludf.DUMMYFUNCTION("""COMPUTED_VALUE"""),"Mining except oil and gas")</f>
        <v>Mining except oil and gas</v>
      </c>
      <c r="J17" s="2" t="str">
        <f>IFERROR(__xludf.DUMMYFUNCTION("""COMPUTED_VALUE"""),"other GHGs")</f>
        <v>other GHGs</v>
      </c>
      <c r="K17" s="2" t="str">
        <f>IFERROR(__xludf.DUMMYFUNCTION("""COMPUTED_VALUE"""),"kg CO2e/2018 USD, purchaser price")</f>
        <v>kg CO2e/2018 USD, purchaser price</v>
      </c>
      <c r="L17" s="2">
        <f>IFERROR(__xludf.DUMMYFUNCTION("""COMPUTED_VALUE"""),0.005)</f>
        <v>0.005</v>
      </c>
      <c r="M17" s="2">
        <f>IFERROR(__xludf.DUMMYFUNCTION("""COMPUTED_VALUE"""),0.0)</f>
        <v>0</v>
      </c>
      <c r="N17" s="2">
        <f>IFERROR(__xludf.DUMMYFUNCTION("""COMPUTED_VALUE"""),0.005)</f>
        <v>0.005</v>
      </c>
    </row>
    <row r="18">
      <c r="A18" s="1" t="s">
        <v>48</v>
      </c>
      <c r="H18" s="2">
        <f>IFERROR(__xludf.DUMMYFUNCTION("SPLIT(A18, ""~;"")"),213.0)</f>
        <v>213</v>
      </c>
      <c r="I18" s="2" t="str">
        <f>IFERROR(__xludf.DUMMYFUNCTION("""COMPUTED_VALUE"""),"Support activities for mining")</f>
        <v>Support activities for mining</v>
      </c>
      <c r="J18" s="2" t="str">
        <f>IFERROR(__xludf.DUMMYFUNCTION("""COMPUTED_VALUE"""),"carbon dioxide")</f>
        <v>carbon dioxide</v>
      </c>
      <c r="K18" s="2" t="str">
        <f>IFERROR(__xludf.DUMMYFUNCTION("""COMPUTED_VALUE"""),"kg/2018 USD, purchaser price")</f>
        <v>kg/2018 USD, purchaser price</v>
      </c>
      <c r="L18" s="2">
        <f>IFERROR(__xludf.DUMMYFUNCTION("""COMPUTED_VALUE"""),0.445)</f>
        <v>0.445</v>
      </c>
      <c r="M18" s="2">
        <f>IFERROR(__xludf.DUMMYFUNCTION("""COMPUTED_VALUE"""),0.0)</f>
        <v>0</v>
      </c>
      <c r="N18" s="2">
        <f>IFERROR(__xludf.DUMMYFUNCTION("""COMPUTED_VALUE"""),0.445)</f>
        <v>0.445</v>
      </c>
    </row>
    <row r="19">
      <c r="A19" s="1" t="s">
        <v>49</v>
      </c>
      <c r="H19" s="2">
        <f>IFERROR(__xludf.DUMMYFUNCTION("SPLIT(A19, ""~;"")"),213.0)</f>
        <v>213</v>
      </c>
      <c r="I19" s="2" t="str">
        <f>IFERROR(__xludf.DUMMYFUNCTION("""COMPUTED_VALUE"""),"Support activities for mining")</f>
        <v>Support activities for mining</v>
      </c>
      <c r="J19" s="2" t="str">
        <f>IFERROR(__xludf.DUMMYFUNCTION("""COMPUTED_VALUE"""),"methane")</f>
        <v>methane</v>
      </c>
      <c r="K19" s="2" t="str">
        <f>IFERROR(__xludf.DUMMYFUNCTION("""COMPUTED_VALUE"""),"kg/2018 USD, purchaser price")</f>
        <v>kg/2018 USD, purchaser price</v>
      </c>
      <c r="L19" s="2">
        <f>IFERROR(__xludf.DUMMYFUNCTION("""COMPUTED_VALUE"""),0.013)</f>
        <v>0.013</v>
      </c>
      <c r="M19" s="2">
        <f>IFERROR(__xludf.DUMMYFUNCTION("""COMPUTED_VALUE"""),0.0)</f>
        <v>0</v>
      </c>
      <c r="N19" s="2">
        <f>IFERROR(__xludf.DUMMYFUNCTION("""COMPUTED_VALUE"""),0.013)</f>
        <v>0.013</v>
      </c>
    </row>
    <row r="20">
      <c r="A20" s="1" t="s">
        <v>51</v>
      </c>
      <c r="H20" s="2">
        <f>IFERROR(__xludf.DUMMYFUNCTION("SPLIT(A20, ""~;"")"),213.0)</f>
        <v>213</v>
      </c>
      <c r="I20" s="2" t="str">
        <f>IFERROR(__xludf.DUMMYFUNCTION("""COMPUTED_VALUE"""),"Support activities for mining")</f>
        <v>Support activities for mining</v>
      </c>
      <c r="J20" s="2" t="str">
        <f>IFERROR(__xludf.DUMMYFUNCTION("""COMPUTED_VALUE"""),"nitrous oxide")</f>
        <v>nitrous oxide</v>
      </c>
      <c r="K20" s="2" t="str">
        <f>IFERROR(__xludf.DUMMYFUNCTION("""COMPUTED_VALUE"""),"kg/2018 USD, purchaser price")</f>
        <v>kg/2018 USD, purchaser price</v>
      </c>
      <c r="L20" s="2">
        <f>IFERROR(__xludf.DUMMYFUNCTION("""COMPUTED_VALUE"""),0.0)</f>
        <v>0</v>
      </c>
      <c r="M20" s="2">
        <f>IFERROR(__xludf.DUMMYFUNCTION("""COMPUTED_VALUE"""),0.0)</f>
        <v>0</v>
      </c>
      <c r="N20" s="2">
        <f>IFERROR(__xludf.DUMMYFUNCTION("""COMPUTED_VALUE"""),0.0)</f>
        <v>0</v>
      </c>
    </row>
    <row r="21">
      <c r="A21" s="1" t="s">
        <v>52</v>
      </c>
      <c r="H21" s="2">
        <f>IFERROR(__xludf.DUMMYFUNCTION("SPLIT(A21, ""~;"")"),213.0)</f>
        <v>213</v>
      </c>
      <c r="I21" s="2" t="str">
        <f>IFERROR(__xludf.DUMMYFUNCTION("""COMPUTED_VALUE"""),"Support activities for mining")</f>
        <v>Support activities for mining</v>
      </c>
      <c r="J21" s="2" t="str">
        <f>IFERROR(__xludf.DUMMYFUNCTION("""COMPUTED_VALUE"""),"other GHGs")</f>
        <v>other GHGs</v>
      </c>
      <c r="K21" s="2" t="str">
        <f>IFERROR(__xludf.DUMMYFUNCTION("""COMPUTED_VALUE"""),"kg CO2e/2018 USD, purchaser price")</f>
        <v>kg CO2e/2018 USD, purchaser price</v>
      </c>
      <c r="L21" s="2">
        <f>IFERROR(__xludf.DUMMYFUNCTION("""COMPUTED_VALUE"""),0.004)</f>
        <v>0.004</v>
      </c>
      <c r="M21" s="2">
        <f>IFERROR(__xludf.DUMMYFUNCTION("""COMPUTED_VALUE"""),0.0)</f>
        <v>0</v>
      </c>
      <c r="N21" s="2">
        <f>IFERROR(__xludf.DUMMYFUNCTION("""COMPUTED_VALUE"""),0.004)</f>
        <v>0.004</v>
      </c>
    </row>
    <row r="22">
      <c r="A22" s="1">
        <v>22.0</v>
      </c>
      <c r="B22" s="1" t="s">
        <v>27</v>
      </c>
      <c r="C22" s="1" t="s">
        <v>12</v>
      </c>
      <c r="D22" s="1" t="s">
        <v>54</v>
      </c>
      <c r="E22" s="1">
        <v>2.884</v>
      </c>
      <c r="F22" s="1">
        <v>0.0</v>
      </c>
      <c r="G22" s="1">
        <v>2.884</v>
      </c>
      <c r="H22" s="2">
        <f>IFERROR(__xludf.DUMMYFUNCTION("SPLIT(A22, ""~;"")"),22.0)</f>
        <v>22</v>
      </c>
    </row>
    <row r="23">
      <c r="A23" s="1">
        <v>22.0</v>
      </c>
      <c r="B23" s="1" t="s">
        <v>27</v>
      </c>
      <c r="C23" s="1" t="s">
        <v>14</v>
      </c>
      <c r="D23" s="1" t="s">
        <v>54</v>
      </c>
      <c r="E23" s="1">
        <v>0.005</v>
      </c>
      <c r="F23" s="1">
        <v>0.0</v>
      </c>
      <c r="G23" s="1">
        <v>0.005</v>
      </c>
      <c r="H23" s="2">
        <f>IFERROR(__xludf.DUMMYFUNCTION("SPLIT(A23, ""~;"")"),22.0)</f>
        <v>22</v>
      </c>
    </row>
    <row r="24">
      <c r="A24" s="1">
        <v>22.0</v>
      </c>
      <c r="B24" s="1" t="s">
        <v>27</v>
      </c>
      <c r="C24" s="1" t="s">
        <v>15</v>
      </c>
      <c r="D24" s="1" t="s">
        <v>54</v>
      </c>
      <c r="E24" s="1">
        <v>0.0</v>
      </c>
      <c r="F24" s="1">
        <v>0.0</v>
      </c>
      <c r="G24" s="1">
        <v>0.0</v>
      </c>
      <c r="H24" s="2">
        <f>IFERROR(__xludf.DUMMYFUNCTION("SPLIT(A24, ""~;"")"),22.0)</f>
        <v>22</v>
      </c>
    </row>
    <row r="25">
      <c r="A25" s="1">
        <v>22.0</v>
      </c>
      <c r="B25" s="1" t="s">
        <v>27</v>
      </c>
      <c r="C25" s="1" t="s">
        <v>16</v>
      </c>
      <c r="D25" s="1" t="s">
        <v>56</v>
      </c>
      <c r="E25" s="1">
        <v>0.01</v>
      </c>
      <c r="F25" s="1">
        <v>0.0</v>
      </c>
      <c r="G25" s="1">
        <v>0.01</v>
      </c>
      <c r="H25" s="2">
        <f>IFERROR(__xludf.DUMMYFUNCTION("SPLIT(A25, ""~;"")"),22.0)</f>
        <v>22</v>
      </c>
    </row>
    <row r="26">
      <c r="A26" s="1">
        <v>23.0</v>
      </c>
      <c r="B26" s="1" t="s">
        <v>30</v>
      </c>
      <c r="C26" s="1" t="s">
        <v>12</v>
      </c>
      <c r="D26" s="1" t="s">
        <v>54</v>
      </c>
      <c r="E26" s="1">
        <v>0.259</v>
      </c>
      <c r="F26" s="1">
        <v>0.0</v>
      </c>
      <c r="G26" s="1">
        <v>0.259</v>
      </c>
      <c r="H26" s="2">
        <f>IFERROR(__xludf.DUMMYFUNCTION("SPLIT(A26, ""~;"")"),23.0)</f>
        <v>23</v>
      </c>
    </row>
    <row r="27">
      <c r="A27" s="1">
        <v>23.0</v>
      </c>
      <c r="B27" s="1" t="s">
        <v>30</v>
      </c>
      <c r="C27" s="1" t="s">
        <v>14</v>
      </c>
      <c r="D27" s="1" t="s">
        <v>54</v>
      </c>
      <c r="E27" s="1">
        <v>0.002</v>
      </c>
      <c r="F27" s="1">
        <v>0.0</v>
      </c>
      <c r="G27" s="1">
        <v>0.002</v>
      </c>
      <c r="H27" s="2">
        <f>IFERROR(__xludf.DUMMYFUNCTION("SPLIT(A27, ""~;"")"),23.0)</f>
        <v>23</v>
      </c>
    </row>
    <row r="28">
      <c r="A28" s="1">
        <v>23.0</v>
      </c>
      <c r="B28" s="1" t="s">
        <v>30</v>
      </c>
      <c r="C28" s="1" t="s">
        <v>15</v>
      </c>
      <c r="D28" s="1" t="s">
        <v>54</v>
      </c>
      <c r="E28" s="1">
        <v>0.0</v>
      </c>
      <c r="F28" s="1">
        <v>0.0</v>
      </c>
      <c r="G28" s="1">
        <v>0.0</v>
      </c>
      <c r="H28" s="2">
        <f>IFERROR(__xludf.DUMMYFUNCTION("SPLIT(A28, ""~;"")"),23.0)</f>
        <v>23</v>
      </c>
    </row>
    <row r="29">
      <c r="A29" s="1">
        <v>23.0</v>
      </c>
      <c r="B29" s="1" t="s">
        <v>30</v>
      </c>
      <c r="C29" s="1" t="s">
        <v>16</v>
      </c>
      <c r="D29" s="1" t="s">
        <v>56</v>
      </c>
      <c r="E29" s="1">
        <v>0.02</v>
      </c>
      <c r="F29" s="1">
        <v>0.0</v>
      </c>
      <c r="G29" s="1">
        <v>0.02</v>
      </c>
      <c r="H29" s="2">
        <f>IFERROR(__xludf.DUMMYFUNCTION("SPLIT(A29, ""~;"")"),23.0)</f>
        <v>23</v>
      </c>
    </row>
    <row r="30">
      <c r="A30" s="1" t="s">
        <v>33</v>
      </c>
      <c r="B30" s="1" t="s">
        <v>34</v>
      </c>
      <c r="C30" s="1" t="s">
        <v>12</v>
      </c>
      <c r="D30" s="1" t="s">
        <v>54</v>
      </c>
      <c r="E30" s="1">
        <v>0.317</v>
      </c>
      <c r="F30" s="1">
        <v>0.019</v>
      </c>
      <c r="G30" s="1">
        <v>0.336</v>
      </c>
      <c r="H30" s="2" t="str">
        <f>IFERROR(__xludf.DUMMYFUNCTION("SPLIT(A30, ""~;"")"),"311FT")</f>
        <v>311FT</v>
      </c>
    </row>
    <row r="31">
      <c r="A31" s="1" t="s">
        <v>33</v>
      </c>
      <c r="B31" s="1" t="s">
        <v>34</v>
      </c>
      <c r="C31" s="1" t="s">
        <v>14</v>
      </c>
      <c r="D31" s="1" t="s">
        <v>54</v>
      </c>
      <c r="E31" s="1">
        <v>0.008</v>
      </c>
      <c r="F31" s="1">
        <v>0.0</v>
      </c>
      <c r="G31" s="1">
        <v>0.008</v>
      </c>
      <c r="H31" s="2" t="str">
        <f>IFERROR(__xludf.DUMMYFUNCTION("SPLIT(A31, ""~;"")"),"311FT")</f>
        <v>311FT</v>
      </c>
    </row>
    <row r="32">
      <c r="A32" s="1" t="s">
        <v>33</v>
      </c>
      <c r="B32" s="1" t="s">
        <v>34</v>
      </c>
      <c r="C32" s="1" t="s">
        <v>15</v>
      </c>
      <c r="D32" s="1" t="s">
        <v>54</v>
      </c>
      <c r="E32" s="1">
        <v>0.001</v>
      </c>
      <c r="F32" s="1">
        <v>0.0</v>
      </c>
      <c r="G32" s="1">
        <v>0.001</v>
      </c>
      <c r="H32" s="2" t="str">
        <f>IFERROR(__xludf.DUMMYFUNCTION("SPLIT(A32, ""~;"")"),"311FT")</f>
        <v>311FT</v>
      </c>
    </row>
    <row r="33">
      <c r="A33" s="1" t="s">
        <v>33</v>
      </c>
      <c r="B33" s="1" t="s">
        <v>34</v>
      </c>
      <c r="C33" s="1" t="s">
        <v>16</v>
      </c>
      <c r="D33" s="1" t="s">
        <v>56</v>
      </c>
      <c r="E33" s="1">
        <v>0.007</v>
      </c>
      <c r="F33" s="1">
        <v>0.0</v>
      </c>
      <c r="G33" s="1">
        <v>0.007</v>
      </c>
      <c r="H33" s="2" t="str">
        <f>IFERROR(__xludf.DUMMYFUNCTION("SPLIT(A33, ""~;"")"),"311FT")</f>
        <v>311FT</v>
      </c>
    </row>
    <row r="34">
      <c r="A34" s="1" t="s">
        <v>36</v>
      </c>
      <c r="B34" s="1" t="s">
        <v>37</v>
      </c>
      <c r="C34" s="1" t="s">
        <v>12</v>
      </c>
      <c r="D34" s="1" t="s">
        <v>54</v>
      </c>
      <c r="E34" s="1">
        <v>0.272</v>
      </c>
      <c r="F34" s="1">
        <v>0.05</v>
      </c>
      <c r="G34" s="1">
        <v>0.322</v>
      </c>
      <c r="H34" s="2" t="str">
        <f>IFERROR(__xludf.DUMMYFUNCTION("SPLIT(A34, ""~;"")"),"313TT")</f>
        <v>313TT</v>
      </c>
    </row>
    <row r="35">
      <c r="A35" s="1" t="s">
        <v>36</v>
      </c>
      <c r="B35" s="1" t="s">
        <v>37</v>
      </c>
      <c r="C35" s="1" t="s">
        <v>14</v>
      </c>
      <c r="D35" s="1" t="s">
        <v>54</v>
      </c>
      <c r="E35" s="1">
        <v>0.002</v>
      </c>
      <c r="F35" s="1">
        <v>0.0</v>
      </c>
      <c r="G35" s="1">
        <v>0.002</v>
      </c>
      <c r="H35" s="2" t="str">
        <f>IFERROR(__xludf.DUMMYFUNCTION("SPLIT(A35, ""~;"")"),"313TT")</f>
        <v>313TT</v>
      </c>
    </row>
    <row r="36">
      <c r="A36" s="1" t="s">
        <v>36</v>
      </c>
      <c r="B36" s="1" t="s">
        <v>37</v>
      </c>
      <c r="C36" s="1" t="s">
        <v>15</v>
      </c>
      <c r="D36" s="1" t="s">
        <v>54</v>
      </c>
      <c r="E36" s="1">
        <v>0.0</v>
      </c>
      <c r="F36" s="1">
        <v>0.0</v>
      </c>
      <c r="G36" s="1">
        <v>0.0</v>
      </c>
      <c r="H36" s="2" t="str">
        <f>IFERROR(__xludf.DUMMYFUNCTION("SPLIT(A36, ""~;"")"),"313TT")</f>
        <v>313TT</v>
      </c>
    </row>
    <row r="37">
      <c r="A37" s="1" t="s">
        <v>36</v>
      </c>
      <c r="B37" s="1" t="s">
        <v>37</v>
      </c>
      <c r="C37" s="1" t="s">
        <v>16</v>
      </c>
      <c r="D37" s="1" t="s">
        <v>56</v>
      </c>
      <c r="E37" s="1">
        <v>0.005</v>
      </c>
      <c r="F37" s="1">
        <v>0.0</v>
      </c>
      <c r="G37" s="1">
        <v>0.005</v>
      </c>
      <c r="H37" s="2" t="str">
        <f>IFERROR(__xludf.DUMMYFUNCTION("SPLIT(A37, ""~;"")"),"313TT")</f>
        <v>313TT</v>
      </c>
    </row>
    <row r="38">
      <c r="A38" s="1" t="s">
        <v>40</v>
      </c>
      <c r="B38" s="1" t="s">
        <v>41</v>
      </c>
      <c r="C38" s="1" t="s">
        <v>12</v>
      </c>
      <c r="D38" s="1" t="s">
        <v>54</v>
      </c>
      <c r="E38" s="1">
        <v>0.078</v>
      </c>
      <c r="F38" s="1">
        <v>0.305</v>
      </c>
      <c r="G38" s="1">
        <v>0.383</v>
      </c>
      <c r="H38" s="2" t="str">
        <f>IFERROR(__xludf.DUMMYFUNCTION("SPLIT(A38, ""~;"")"),"315AL")</f>
        <v>315AL</v>
      </c>
    </row>
    <row r="39">
      <c r="A39" s="1" t="s">
        <v>40</v>
      </c>
      <c r="B39" s="1" t="s">
        <v>41</v>
      </c>
      <c r="C39" s="1" t="s">
        <v>14</v>
      </c>
      <c r="D39" s="1" t="s">
        <v>54</v>
      </c>
      <c r="E39" s="1">
        <v>0.001</v>
      </c>
      <c r="F39" s="1">
        <v>0.002</v>
      </c>
      <c r="G39" s="1">
        <v>0.002</v>
      </c>
      <c r="H39" s="2" t="str">
        <f>IFERROR(__xludf.DUMMYFUNCTION("SPLIT(A39, ""~;"")"),"315AL")</f>
        <v>315AL</v>
      </c>
    </row>
    <row r="40">
      <c r="A40" s="1" t="s">
        <v>40</v>
      </c>
      <c r="B40" s="1" t="s">
        <v>41</v>
      </c>
      <c r="C40" s="1" t="s">
        <v>15</v>
      </c>
      <c r="D40" s="1" t="s">
        <v>54</v>
      </c>
      <c r="E40" s="1">
        <v>0.0</v>
      </c>
      <c r="F40" s="1">
        <v>0.0</v>
      </c>
      <c r="G40" s="1">
        <v>0.0</v>
      </c>
      <c r="H40" s="2" t="str">
        <f>IFERROR(__xludf.DUMMYFUNCTION("SPLIT(A40, ""~;"")"),"315AL")</f>
        <v>315AL</v>
      </c>
    </row>
    <row r="41">
      <c r="A41" s="1" t="s">
        <v>40</v>
      </c>
      <c r="B41" s="1" t="s">
        <v>41</v>
      </c>
      <c r="C41" s="1" t="s">
        <v>16</v>
      </c>
      <c r="D41" s="1" t="s">
        <v>56</v>
      </c>
      <c r="E41" s="1">
        <v>0.002</v>
      </c>
      <c r="F41" s="1">
        <v>0.0</v>
      </c>
      <c r="G41" s="1">
        <v>0.002</v>
      </c>
      <c r="H41" s="2" t="str">
        <f>IFERROR(__xludf.DUMMYFUNCTION("SPLIT(A41, ""~;"")"),"315AL")</f>
        <v>315AL</v>
      </c>
    </row>
    <row r="42">
      <c r="A42" s="1">
        <v>321.0</v>
      </c>
      <c r="B42" s="1" t="s">
        <v>44</v>
      </c>
      <c r="C42" s="1" t="s">
        <v>12</v>
      </c>
      <c r="D42" s="1" t="s">
        <v>54</v>
      </c>
      <c r="E42" s="1">
        <v>0.189</v>
      </c>
      <c r="F42" s="1">
        <v>0.029</v>
      </c>
      <c r="G42" s="1">
        <v>0.218</v>
      </c>
      <c r="H42" s="2">
        <f>IFERROR(__xludf.DUMMYFUNCTION("SPLIT(A42, ""~;"")"),321.0)</f>
        <v>321</v>
      </c>
    </row>
    <row r="43">
      <c r="A43" s="1">
        <v>321.0</v>
      </c>
      <c r="B43" s="1" t="s">
        <v>44</v>
      </c>
      <c r="C43" s="1" t="s">
        <v>14</v>
      </c>
      <c r="D43" s="1" t="s">
        <v>54</v>
      </c>
      <c r="E43" s="1">
        <v>0.001</v>
      </c>
      <c r="F43" s="1">
        <v>0.0</v>
      </c>
      <c r="G43" s="1">
        <v>0.001</v>
      </c>
      <c r="H43" s="2">
        <f>IFERROR(__xludf.DUMMYFUNCTION("SPLIT(A43, ""~;"")"),321.0)</f>
        <v>321</v>
      </c>
    </row>
    <row r="44">
      <c r="A44" s="1">
        <v>321.0</v>
      </c>
      <c r="B44" s="1" t="s">
        <v>44</v>
      </c>
      <c r="C44" s="1" t="s">
        <v>15</v>
      </c>
      <c r="D44" s="1" t="s">
        <v>54</v>
      </c>
      <c r="E44" s="1">
        <v>0.0</v>
      </c>
      <c r="F44" s="1">
        <v>0.0</v>
      </c>
      <c r="G44" s="1">
        <v>0.0</v>
      </c>
      <c r="H44" s="2">
        <f>IFERROR(__xludf.DUMMYFUNCTION("SPLIT(A44, ""~;"")"),321.0)</f>
        <v>321</v>
      </c>
    </row>
    <row r="45">
      <c r="A45" s="1">
        <v>321.0</v>
      </c>
      <c r="B45" s="1" t="s">
        <v>44</v>
      </c>
      <c r="C45" s="1" t="s">
        <v>16</v>
      </c>
      <c r="D45" s="1" t="s">
        <v>56</v>
      </c>
      <c r="E45" s="1">
        <v>0.01</v>
      </c>
      <c r="F45" s="1">
        <v>0.0</v>
      </c>
      <c r="G45" s="1">
        <v>0.01</v>
      </c>
      <c r="H45" s="2">
        <f>IFERROR(__xludf.DUMMYFUNCTION("SPLIT(A45, ""~;"")"),321.0)</f>
        <v>321</v>
      </c>
    </row>
    <row r="46">
      <c r="A46" s="1">
        <v>322.0</v>
      </c>
      <c r="B46" s="1" t="s">
        <v>47</v>
      </c>
      <c r="C46" s="1" t="s">
        <v>12</v>
      </c>
      <c r="D46" s="1" t="s">
        <v>54</v>
      </c>
      <c r="E46" s="1">
        <v>0.345</v>
      </c>
      <c r="F46" s="1">
        <v>0.021</v>
      </c>
      <c r="G46" s="1">
        <v>0.366</v>
      </c>
      <c r="H46" s="2">
        <f>IFERROR(__xludf.DUMMYFUNCTION("SPLIT(A46, ""~;"")"),322.0)</f>
        <v>322</v>
      </c>
    </row>
    <row r="47">
      <c r="A47" s="1">
        <v>322.0</v>
      </c>
      <c r="B47" s="1" t="s">
        <v>47</v>
      </c>
      <c r="C47" s="1" t="s">
        <v>14</v>
      </c>
      <c r="D47" s="1" t="s">
        <v>54</v>
      </c>
      <c r="E47" s="1">
        <v>0.001</v>
      </c>
      <c r="F47" s="1">
        <v>0.0</v>
      </c>
      <c r="G47" s="1">
        <v>0.001</v>
      </c>
      <c r="H47" s="2">
        <f>IFERROR(__xludf.DUMMYFUNCTION("SPLIT(A47, ""~;"")"),322.0)</f>
        <v>322</v>
      </c>
    </row>
    <row r="48">
      <c r="A48" s="1">
        <v>322.0</v>
      </c>
      <c r="B48" s="1" t="s">
        <v>47</v>
      </c>
      <c r="C48" s="1" t="s">
        <v>15</v>
      </c>
      <c r="D48" s="1" t="s">
        <v>54</v>
      </c>
      <c r="E48" s="1">
        <v>0.0</v>
      </c>
      <c r="F48" s="1">
        <v>0.0</v>
      </c>
      <c r="G48" s="1">
        <v>0.0</v>
      </c>
      <c r="H48" s="2">
        <f>IFERROR(__xludf.DUMMYFUNCTION("SPLIT(A48, ""~;"")"),322.0)</f>
        <v>322</v>
      </c>
    </row>
    <row r="49">
      <c r="A49" s="1">
        <v>322.0</v>
      </c>
      <c r="B49" s="1" t="s">
        <v>47</v>
      </c>
      <c r="C49" s="1" t="s">
        <v>16</v>
      </c>
      <c r="D49" s="1" t="s">
        <v>56</v>
      </c>
      <c r="E49" s="1">
        <v>0.005</v>
      </c>
      <c r="F49" s="1">
        <v>0.0</v>
      </c>
      <c r="G49" s="1">
        <v>0.005</v>
      </c>
      <c r="H49" s="2">
        <f>IFERROR(__xludf.DUMMYFUNCTION("SPLIT(A49, ""~;"")"),322.0)</f>
        <v>322</v>
      </c>
    </row>
    <row r="50">
      <c r="A50" s="1">
        <v>323.0</v>
      </c>
      <c r="B50" s="1" t="s">
        <v>50</v>
      </c>
      <c r="C50" s="1" t="s">
        <v>12</v>
      </c>
      <c r="D50" s="1" t="s">
        <v>54</v>
      </c>
      <c r="E50" s="1">
        <v>0.21</v>
      </c>
      <c r="F50" s="1">
        <v>0.02</v>
      </c>
      <c r="G50" s="1">
        <v>0.23</v>
      </c>
      <c r="H50" s="2">
        <f>IFERROR(__xludf.DUMMYFUNCTION("SPLIT(A50, ""~;"")"),323.0)</f>
        <v>323</v>
      </c>
    </row>
    <row r="51">
      <c r="A51" s="1">
        <v>323.0</v>
      </c>
      <c r="B51" s="1" t="s">
        <v>50</v>
      </c>
      <c r="C51" s="1" t="s">
        <v>14</v>
      </c>
      <c r="D51" s="1" t="s">
        <v>54</v>
      </c>
      <c r="E51" s="1">
        <v>0.001</v>
      </c>
      <c r="F51" s="1">
        <v>0.0</v>
      </c>
      <c r="G51" s="1">
        <v>0.001</v>
      </c>
      <c r="H51" s="2">
        <f>IFERROR(__xludf.DUMMYFUNCTION("SPLIT(A51, ""~;"")"),323.0)</f>
        <v>323</v>
      </c>
    </row>
    <row r="52">
      <c r="A52" s="1">
        <v>323.0</v>
      </c>
      <c r="B52" s="1" t="s">
        <v>50</v>
      </c>
      <c r="C52" s="1" t="s">
        <v>15</v>
      </c>
      <c r="D52" s="1" t="s">
        <v>54</v>
      </c>
      <c r="E52" s="1">
        <v>0.0</v>
      </c>
      <c r="F52" s="1">
        <v>0.0</v>
      </c>
      <c r="G52" s="1">
        <v>0.0</v>
      </c>
      <c r="H52" s="2">
        <f>IFERROR(__xludf.DUMMYFUNCTION("SPLIT(A52, ""~;"")"),323.0)</f>
        <v>323</v>
      </c>
    </row>
    <row r="53">
      <c r="A53" s="1">
        <v>323.0</v>
      </c>
      <c r="B53" s="1" t="s">
        <v>50</v>
      </c>
      <c r="C53" s="1" t="s">
        <v>16</v>
      </c>
      <c r="D53" s="1" t="s">
        <v>56</v>
      </c>
      <c r="E53" s="1">
        <v>0.004</v>
      </c>
      <c r="F53" s="1">
        <v>0.0</v>
      </c>
      <c r="G53" s="1">
        <v>0.004</v>
      </c>
      <c r="H53" s="2">
        <f>IFERROR(__xludf.DUMMYFUNCTION("SPLIT(A53, ""~;"")"),323.0)</f>
        <v>323</v>
      </c>
    </row>
    <row r="54">
      <c r="A54" s="1">
        <v>324.0</v>
      </c>
      <c r="B54" s="1" t="s">
        <v>53</v>
      </c>
      <c r="C54" s="1" t="s">
        <v>12</v>
      </c>
      <c r="D54" s="1" t="s">
        <v>54</v>
      </c>
      <c r="E54" s="1">
        <v>0.755</v>
      </c>
      <c r="F54" s="1">
        <v>0.018</v>
      </c>
      <c r="G54" s="1">
        <v>0.773</v>
      </c>
      <c r="H54" s="2">
        <f>IFERROR(__xludf.DUMMYFUNCTION("SPLIT(A54, ""~;"")"),324.0)</f>
        <v>324</v>
      </c>
    </row>
    <row r="55">
      <c r="A55" s="1">
        <v>324.0</v>
      </c>
      <c r="B55" s="1" t="s">
        <v>53</v>
      </c>
      <c r="C55" s="1" t="s">
        <v>14</v>
      </c>
      <c r="D55" s="1" t="s">
        <v>54</v>
      </c>
      <c r="E55" s="1">
        <v>0.018</v>
      </c>
      <c r="F55" s="1">
        <v>0.0</v>
      </c>
      <c r="G55" s="1">
        <v>0.018</v>
      </c>
      <c r="H55" s="2">
        <f>IFERROR(__xludf.DUMMYFUNCTION("SPLIT(A55, ""~;"")"),324.0)</f>
        <v>324</v>
      </c>
    </row>
    <row r="56">
      <c r="A56" s="1">
        <v>324.0</v>
      </c>
      <c r="B56" s="1" t="s">
        <v>53</v>
      </c>
      <c r="C56" s="1" t="s">
        <v>15</v>
      </c>
      <c r="D56" s="1" t="s">
        <v>54</v>
      </c>
      <c r="E56" s="1">
        <v>0.0</v>
      </c>
      <c r="F56" s="1">
        <v>0.0</v>
      </c>
      <c r="G56" s="1">
        <v>0.0</v>
      </c>
      <c r="H56" s="2">
        <f>IFERROR(__xludf.DUMMYFUNCTION("SPLIT(A56, ""~;"")"),324.0)</f>
        <v>324</v>
      </c>
    </row>
    <row r="57">
      <c r="A57" s="1">
        <v>324.0</v>
      </c>
      <c r="B57" s="1" t="s">
        <v>53</v>
      </c>
      <c r="C57" s="1" t="s">
        <v>16</v>
      </c>
      <c r="D57" s="1" t="s">
        <v>56</v>
      </c>
      <c r="E57" s="1">
        <v>0.005</v>
      </c>
      <c r="F57" s="1">
        <v>0.0</v>
      </c>
      <c r="G57" s="1">
        <v>0.005</v>
      </c>
      <c r="H57" s="2">
        <f>IFERROR(__xludf.DUMMYFUNCTION("SPLIT(A57, ""~;"")"),324.0)</f>
        <v>324</v>
      </c>
    </row>
    <row r="58">
      <c r="A58" s="1">
        <v>325.0</v>
      </c>
      <c r="B58" s="1" t="s">
        <v>55</v>
      </c>
      <c r="C58" s="1" t="s">
        <v>12</v>
      </c>
      <c r="D58" s="1" t="s">
        <v>54</v>
      </c>
      <c r="E58" s="1">
        <v>0.282</v>
      </c>
      <c r="F58" s="1">
        <v>0.013</v>
      </c>
      <c r="G58" s="1">
        <v>0.295</v>
      </c>
      <c r="H58" s="2">
        <f>IFERROR(__xludf.DUMMYFUNCTION("SPLIT(A58, ""~;"")"),325.0)</f>
        <v>325</v>
      </c>
    </row>
    <row r="59">
      <c r="A59" s="1">
        <v>325.0</v>
      </c>
      <c r="B59" s="1" t="s">
        <v>55</v>
      </c>
      <c r="C59" s="1" t="s">
        <v>14</v>
      </c>
      <c r="D59" s="1" t="s">
        <v>54</v>
      </c>
      <c r="E59" s="1">
        <v>0.001</v>
      </c>
      <c r="F59" s="1">
        <v>0.0</v>
      </c>
      <c r="G59" s="1">
        <v>0.001</v>
      </c>
      <c r="H59" s="2">
        <f>IFERROR(__xludf.DUMMYFUNCTION("SPLIT(A59, ""~;"")"),325.0)</f>
        <v>325</v>
      </c>
    </row>
    <row r="60">
      <c r="A60" s="1">
        <v>325.0</v>
      </c>
      <c r="B60" s="1" t="s">
        <v>55</v>
      </c>
      <c r="C60" s="1" t="s">
        <v>15</v>
      </c>
      <c r="D60" s="1" t="s">
        <v>54</v>
      </c>
      <c r="E60" s="1">
        <v>0.0</v>
      </c>
      <c r="F60" s="1">
        <v>0.0</v>
      </c>
      <c r="G60" s="1">
        <v>0.0</v>
      </c>
      <c r="H60" s="2">
        <f>IFERROR(__xludf.DUMMYFUNCTION("SPLIT(A60, ""~;"")"),325.0)</f>
        <v>325</v>
      </c>
    </row>
    <row r="61">
      <c r="A61" s="1">
        <v>325.0</v>
      </c>
      <c r="B61" s="1" t="s">
        <v>55</v>
      </c>
      <c r="C61" s="1" t="s">
        <v>16</v>
      </c>
      <c r="D61" s="1" t="s">
        <v>56</v>
      </c>
      <c r="E61" s="1">
        <v>0.01</v>
      </c>
      <c r="F61" s="1">
        <v>0.0</v>
      </c>
      <c r="G61" s="1">
        <v>0.01</v>
      </c>
      <c r="H61" s="2">
        <f>IFERROR(__xludf.DUMMYFUNCTION("SPLIT(A61, ""~;"")"),325.0)</f>
        <v>325</v>
      </c>
    </row>
    <row r="62">
      <c r="A62" s="1">
        <v>326.0</v>
      </c>
      <c r="B62" s="1" t="s">
        <v>57</v>
      </c>
      <c r="C62" s="1" t="s">
        <v>12</v>
      </c>
      <c r="D62" s="1" t="s">
        <v>54</v>
      </c>
      <c r="E62" s="1">
        <v>0.164</v>
      </c>
      <c r="F62" s="1">
        <v>0.009</v>
      </c>
      <c r="G62" s="1">
        <v>0.173</v>
      </c>
      <c r="H62" s="2">
        <f>IFERROR(__xludf.DUMMYFUNCTION("SPLIT(A62, ""~;"")"),326.0)</f>
        <v>326</v>
      </c>
    </row>
    <row r="63">
      <c r="A63" s="1">
        <v>326.0</v>
      </c>
      <c r="B63" s="1" t="s">
        <v>57</v>
      </c>
      <c r="C63" s="1" t="s">
        <v>14</v>
      </c>
      <c r="D63" s="1" t="s">
        <v>54</v>
      </c>
      <c r="E63" s="1">
        <v>0.001</v>
      </c>
      <c r="F63" s="1">
        <v>0.0</v>
      </c>
      <c r="G63" s="1">
        <v>0.001</v>
      </c>
      <c r="H63" s="2">
        <f>IFERROR(__xludf.DUMMYFUNCTION("SPLIT(A63, ""~;"")"),326.0)</f>
        <v>326</v>
      </c>
    </row>
    <row r="64">
      <c r="A64" s="1">
        <v>326.0</v>
      </c>
      <c r="B64" s="1" t="s">
        <v>57</v>
      </c>
      <c r="C64" s="1" t="s">
        <v>15</v>
      </c>
      <c r="D64" s="1" t="s">
        <v>54</v>
      </c>
      <c r="E64" s="1">
        <v>0.0</v>
      </c>
      <c r="F64" s="1">
        <v>0.0</v>
      </c>
      <c r="G64" s="1">
        <v>0.0</v>
      </c>
      <c r="H64" s="2">
        <f>IFERROR(__xludf.DUMMYFUNCTION("SPLIT(A64, ""~;"")"),326.0)</f>
        <v>326</v>
      </c>
    </row>
    <row r="65">
      <c r="A65" s="1">
        <v>326.0</v>
      </c>
      <c r="B65" s="1" t="s">
        <v>57</v>
      </c>
      <c r="C65" s="1" t="s">
        <v>16</v>
      </c>
      <c r="D65" s="1" t="s">
        <v>56</v>
      </c>
      <c r="E65" s="1">
        <v>0.011</v>
      </c>
      <c r="F65" s="1">
        <v>0.0</v>
      </c>
      <c r="G65" s="1">
        <v>0.011</v>
      </c>
      <c r="H65" s="2">
        <f>IFERROR(__xludf.DUMMYFUNCTION("SPLIT(A65, ""~;"")"),326.0)</f>
        <v>326</v>
      </c>
    </row>
    <row r="66">
      <c r="A66" s="1">
        <v>327.0</v>
      </c>
      <c r="B66" s="1" t="s">
        <v>58</v>
      </c>
      <c r="C66" s="1" t="s">
        <v>12</v>
      </c>
      <c r="D66" s="1" t="s">
        <v>54</v>
      </c>
      <c r="E66" s="1">
        <v>0.499</v>
      </c>
      <c r="F66" s="1">
        <v>0.039</v>
      </c>
      <c r="G66" s="1">
        <v>0.538</v>
      </c>
      <c r="H66" s="2">
        <f>IFERROR(__xludf.DUMMYFUNCTION("SPLIT(A66, ""~;"")"),327.0)</f>
        <v>327</v>
      </c>
    </row>
    <row r="67">
      <c r="A67" s="1">
        <v>327.0</v>
      </c>
      <c r="B67" s="1" t="s">
        <v>58</v>
      </c>
      <c r="C67" s="1" t="s">
        <v>14</v>
      </c>
      <c r="D67" s="1" t="s">
        <v>54</v>
      </c>
      <c r="E67" s="1">
        <v>0.001</v>
      </c>
      <c r="F67" s="1">
        <v>0.0</v>
      </c>
      <c r="G67" s="1">
        <v>0.002</v>
      </c>
      <c r="H67" s="2">
        <f>IFERROR(__xludf.DUMMYFUNCTION("SPLIT(A67, ""~;"")"),327.0)</f>
        <v>327</v>
      </c>
    </row>
    <row r="68">
      <c r="A68" s="1">
        <v>327.0</v>
      </c>
      <c r="B68" s="1" t="s">
        <v>58</v>
      </c>
      <c r="C68" s="1" t="s">
        <v>15</v>
      </c>
      <c r="D68" s="1" t="s">
        <v>54</v>
      </c>
      <c r="E68" s="1">
        <v>0.0</v>
      </c>
      <c r="F68" s="1">
        <v>0.0</v>
      </c>
      <c r="G68" s="1">
        <v>0.0</v>
      </c>
      <c r="H68" s="2">
        <f>IFERROR(__xludf.DUMMYFUNCTION("SPLIT(A68, ""~;"")"),327.0)</f>
        <v>327</v>
      </c>
    </row>
    <row r="69">
      <c r="A69" s="1">
        <v>327.0</v>
      </c>
      <c r="B69" s="1" t="s">
        <v>58</v>
      </c>
      <c r="C69" s="1" t="s">
        <v>16</v>
      </c>
      <c r="D69" s="1" t="s">
        <v>56</v>
      </c>
      <c r="E69" s="1">
        <v>0.004</v>
      </c>
      <c r="F69" s="1">
        <v>0.0</v>
      </c>
      <c r="G69" s="1">
        <v>0.004</v>
      </c>
      <c r="H69" s="2">
        <f>IFERROR(__xludf.DUMMYFUNCTION("SPLIT(A69, ""~;"")"),327.0)</f>
        <v>327</v>
      </c>
    </row>
    <row r="70">
      <c r="A70" s="1">
        <v>331.0</v>
      </c>
      <c r="B70" s="1" t="s">
        <v>59</v>
      </c>
      <c r="C70" s="1" t="s">
        <v>12</v>
      </c>
      <c r="D70" s="1" t="s">
        <v>54</v>
      </c>
      <c r="E70" s="1">
        <v>0.058</v>
      </c>
      <c r="F70" s="1">
        <v>0.002</v>
      </c>
      <c r="G70" s="1">
        <v>0.06</v>
      </c>
      <c r="H70" s="2">
        <f>IFERROR(__xludf.DUMMYFUNCTION("SPLIT(A70, ""~;"")"),331.0)</f>
        <v>331</v>
      </c>
    </row>
    <row r="71">
      <c r="A71" s="1">
        <v>331.0</v>
      </c>
      <c r="B71" s="1" t="s">
        <v>59</v>
      </c>
      <c r="C71" s="1" t="s">
        <v>14</v>
      </c>
      <c r="D71" s="1" t="s">
        <v>54</v>
      </c>
      <c r="E71" s="1">
        <v>0.0</v>
      </c>
      <c r="F71" s="1">
        <v>0.0</v>
      </c>
      <c r="G71" s="1">
        <v>0.0</v>
      </c>
      <c r="H71" s="2">
        <f>IFERROR(__xludf.DUMMYFUNCTION("SPLIT(A71, ""~;"")"),331.0)</f>
        <v>331</v>
      </c>
    </row>
    <row r="72">
      <c r="A72" s="1">
        <v>331.0</v>
      </c>
      <c r="B72" s="1" t="s">
        <v>59</v>
      </c>
      <c r="C72" s="1" t="s">
        <v>15</v>
      </c>
      <c r="D72" s="1" t="s">
        <v>54</v>
      </c>
      <c r="E72" s="1">
        <v>0.0</v>
      </c>
      <c r="F72" s="1">
        <v>0.0</v>
      </c>
      <c r="G72" s="1">
        <v>0.0</v>
      </c>
      <c r="H72" s="2">
        <f>IFERROR(__xludf.DUMMYFUNCTION("SPLIT(A72, ""~;"")"),331.0)</f>
        <v>331</v>
      </c>
    </row>
    <row r="73">
      <c r="A73" s="1">
        <v>331.0</v>
      </c>
      <c r="B73" s="1" t="s">
        <v>59</v>
      </c>
      <c r="C73" s="1" t="s">
        <v>16</v>
      </c>
      <c r="D73" s="1" t="s">
        <v>56</v>
      </c>
      <c r="E73" s="1">
        <v>0.021</v>
      </c>
      <c r="F73" s="1">
        <v>0.0</v>
      </c>
      <c r="G73" s="1">
        <v>0.021</v>
      </c>
      <c r="H73" s="2">
        <f>IFERROR(__xludf.DUMMYFUNCTION("SPLIT(A73, ""~;"")"),331.0)</f>
        <v>331</v>
      </c>
    </row>
    <row r="74">
      <c r="A74" s="1">
        <v>332.0</v>
      </c>
      <c r="B74" s="1" t="s">
        <v>60</v>
      </c>
      <c r="C74" s="1" t="s">
        <v>12</v>
      </c>
      <c r="D74" s="1" t="s">
        <v>54</v>
      </c>
      <c r="E74" s="1">
        <v>0.225</v>
      </c>
      <c r="F74" s="1">
        <v>0.015</v>
      </c>
      <c r="G74" s="1">
        <v>0.239</v>
      </c>
      <c r="H74" s="2">
        <f>IFERROR(__xludf.DUMMYFUNCTION("SPLIT(A74, ""~;"")"),332.0)</f>
        <v>332</v>
      </c>
    </row>
    <row r="75">
      <c r="A75" s="1">
        <v>332.0</v>
      </c>
      <c r="B75" s="1" t="s">
        <v>60</v>
      </c>
      <c r="C75" s="1" t="s">
        <v>14</v>
      </c>
      <c r="D75" s="1" t="s">
        <v>54</v>
      </c>
      <c r="E75" s="1">
        <v>0.001</v>
      </c>
      <c r="F75" s="1">
        <v>0.0</v>
      </c>
      <c r="G75" s="1">
        <v>0.001</v>
      </c>
      <c r="H75" s="2">
        <f>IFERROR(__xludf.DUMMYFUNCTION("SPLIT(A75, ""~;"")"),332.0)</f>
        <v>332</v>
      </c>
    </row>
    <row r="76">
      <c r="A76" s="1">
        <v>332.0</v>
      </c>
      <c r="B76" s="1" t="s">
        <v>60</v>
      </c>
      <c r="C76" s="1" t="s">
        <v>15</v>
      </c>
      <c r="D76" s="1" t="s">
        <v>54</v>
      </c>
      <c r="E76" s="1">
        <v>0.0</v>
      </c>
      <c r="F76" s="1">
        <v>0.0</v>
      </c>
      <c r="G76" s="1">
        <v>0.0</v>
      </c>
      <c r="H76" s="2">
        <f>IFERROR(__xludf.DUMMYFUNCTION("SPLIT(A76, ""~;"")"),332.0)</f>
        <v>332</v>
      </c>
    </row>
    <row r="77">
      <c r="A77" s="1">
        <v>332.0</v>
      </c>
      <c r="B77" s="1" t="s">
        <v>60</v>
      </c>
      <c r="C77" s="1" t="s">
        <v>16</v>
      </c>
      <c r="D77" s="1" t="s">
        <v>56</v>
      </c>
      <c r="E77" s="1">
        <v>0.008</v>
      </c>
      <c r="F77" s="1">
        <v>0.0</v>
      </c>
      <c r="G77" s="1">
        <v>0.008</v>
      </c>
      <c r="H77" s="2">
        <f>IFERROR(__xludf.DUMMYFUNCTION("SPLIT(A77, ""~;"")"),332.0)</f>
        <v>332</v>
      </c>
    </row>
    <row r="78">
      <c r="A78" s="1">
        <v>333.0</v>
      </c>
      <c r="B78" s="1" t="s">
        <v>61</v>
      </c>
      <c r="C78" s="1" t="s">
        <v>12</v>
      </c>
      <c r="D78" s="1" t="s">
        <v>54</v>
      </c>
      <c r="E78" s="1">
        <v>0.167</v>
      </c>
      <c r="F78" s="1">
        <v>0.019</v>
      </c>
      <c r="G78" s="1">
        <v>0.185</v>
      </c>
      <c r="H78" s="2">
        <f>IFERROR(__xludf.DUMMYFUNCTION("SPLIT(A78, ""~;"")"),333.0)</f>
        <v>333</v>
      </c>
    </row>
    <row r="79">
      <c r="A79" s="1">
        <v>333.0</v>
      </c>
      <c r="B79" s="1" t="s">
        <v>61</v>
      </c>
      <c r="C79" s="1" t="s">
        <v>14</v>
      </c>
      <c r="D79" s="1" t="s">
        <v>54</v>
      </c>
      <c r="E79" s="1">
        <v>0.001</v>
      </c>
      <c r="F79" s="1">
        <v>0.0</v>
      </c>
      <c r="G79" s="1">
        <v>0.001</v>
      </c>
      <c r="H79" s="2">
        <f>IFERROR(__xludf.DUMMYFUNCTION("SPLIT(A79, ""~;"")"),333.0)</f>
        <v>333</v>
      </c>
    </row>
    <row r="80">
      <c r="A80" s="1">
        <v>333.0</v>
      </c>
      <c r="B80" s="1" t="s">
        <v>61</v>
      </c>
      <c r="C80" s="1" t="s">
        <v>15</v>
      </c>
      <c r="D80" s="1" t="s">
        <v>54</v>
      </c>
      <c r="E80" s="1">
        <v>0.0</v>
      </c>
      <c r="F80" s="1">
        <v>0.0</v>
      </c>
      <c r="G80" s="1">
        <v>0.0</v>
      </c>
      <c r="H80" s="2">
        <f>IFERROR(__xludf.DUMMYFUNCTION("SPLIT(A80, ""~;"")"),333.0)</f>
        <v>333</v>
      </c>
    </row>
    <row r="81">
      <c r="A81" s="1">
        <v>333.0</v>
      </c>
      <c r="B81" s="1" t="s">
        <v>61</v>
      </c>
      <c r="C81" s="1" t="s">
        <v>16</v>
      </c>
      <c r="D81" s="1" t="s">
        <v>56</v>
      </c>
      <c r="E81" s="1">
        <v>0.043</v>
      </c>
      <c r="F81" s="1">
        <v>0.0</v>
      </c>
      <c r="G81" s="1">
        <v>0.043</v>
      </c>
      <c r="H81" s="2">
        <f>IFERROR(__xludf.DUMMYFUNCTION("SPLIT(A81, ""~;"")"),333.0)</f>
        <v>333</v>
      </c>
    </row>
    <row r="82">
      <c r="A82" s="1">
        <v>334.0</v>
      </c>
      <c r="B82" s="1" t="s">
        <v>62</v>
      </c>
      <c r="C82" s="1" t="s">
        <v>12</v>
      </c>
      <c r="D82" s="1" t="s">
        <v>54</v>
      </c>
      <c r="E82" s="1">
        <v>0.043</v>
      </c>
      <c r="F82" s="1">
        <v>0.022</v>
      </c>
      <c r="G82" s="1">
        <v>0.064</v>
      </c>
      <c r="H82" s="2">
        <f>IFERROR(__xludf.DUMMYFUNCTION("SPLIT(A82, ""~;"")"),334.0)</f>
        <v>334</v>
      </c>
    </row>
    <row r="83">
      <c r="A83" s="1">
        <v>334.0</v>
      </c>
      <c r="B83" s="1" t="s">
        <v>62</v>
      </c>
      <c r="C83" s="1" t="s">
        <v>14</v>
      </c>
      <c r="D83" s="1" t="s">
        <v>54</v>
      </c>
      <c r="E83" s="1">
        <v>0.0</v>
      </c>
      <c r="F83" s="1">
        <v>0.0</v>
      </c>
      <c r="G83" s="1">
        <v>0.0</v>
      </c>
      <c r="H83" s="2">
        <f>IFERROR(__xludf.DUMMYFUNCTION("SPLIT(A83, ""~;"")"),334.0)</f>
        <v>334</v>
      </c>
    </row>
    <row r="84">
      <c r="A84" s="1">
        <v>334.0</v>
      </c>
      <c r="B84" s="1" t="s">
        <v>62</v>
      </c>
      <c r="C84" s="1" t="s">
        <v>15</v>
      </c>
      <c r="D84" s="1" t="s">
        <v>54</v>
      </c>
      <c r="E84" s="1">
        <v>0.0</v>
      </c>
      <c r="F84" s="1">
        <v>0.0</v>
      </c>
      <c r="G84" s="1">
        <v>0.0</v>
      </c>
      <c r="H84" s="2">
        <f>IFERROR(__xludf.DUMMYFUNCTION("SPLIT(A84, ""~;"")"),334.0)</f>
        <v>334</v>
      </c>
    </row>
    <row r="85">
      <c r="A85" s="1">
        <v>334.0</v>
      </c>
      <c r="B85" s="1" t="s">
        <v>62</v>
      </c>
      <c r="C85" s="1" t="s">
        <v>16</v>
      </c>
      <c r="D85" s="1" t="s">
        <v>56</v>
      </c>
      <c r="E85" s="1">
        <v>0.015</v>
      </c>
      <c r="F85" s="1">
        <v>0.0</v>
      </c>
      <c r="G85" s="1">
        <v>0.015</v>
      </c>
      <c r="H85" s="2">
        <f>IFERROR(__xludf.DUMMYFUNCTION("SPLIT(A85, ""~;"")"),334.0)</f>
        <v>334</v>
      </c>
    </row>
    <row r="86">
      <c r="A86" s="1">
        <v>335.0</v>
      </c>
      <c r="B86" s="1" t="s">
        <v>63</v>
      </c>
      <c r="C86" s="1" t="s">
        <v>12</v>
      </c>
      <c r="D86" s="1" t="s">
        <v>54</v>
      </c>
      <c r="E86" s="1">
        <v>0.197</v>
      </c>
      <c r="F86" s="1">
        <v>0.034</v>
      </c>
      <c r="G86" s="1">
        <v>0.232</v>
      </c>
      <c r="H86" s="2">
        <f>IFERROR(__xludf.DUMMYFUNCTION("SPLIT(A86, ""~;"")"),335.0)</f>
        <v>335</v>
      </c>
    </row>
    <row r="87">
      <c r="A87" s="1">
        <v>335.0</v>
      </c>
      <c r="B87" s="1" t="s">
        <v>63</v>
      </c>
      <c r="C87" s="1" t="s">
        <v>14</v>
      </c>
      <c r="D87" s="1" t="s">
        <v>54</v>
      </c>
      <c r="E87" s="1">
        <v>0.001</v>
      </c>
      <c r="F87" s="1">
        <v>0.0</v>
      </c>
      <c r="G87" s="1">
        <v>0.001</v>
      </c>
      <c r="H87" s="2">
        <f>IFERROR(__xludf.DUMMYFUNCTION("SPLIT(A87, ""~;"")"),335.0)</f>
        <v>335</v>
      </c>
    </row>
    <row r="88">
      <c r="A88" s="1">
        <v>335.0</v>
      </c>
      <c r="B88" s="1" t="s">
        <v>63</v>
      </c>
      <c r="C88" s="1" t="s">
        <v>15</v>
      </c>
      <c r="D88" s="1" t="s">
        <v>54</v>
      </c>
      <c r="E88" s="1">
        <v>0.0</v>
      </c>
      <c r="F88" s="1">
        <v>0.0</v>
      </c>
      <c r="G88" s="1">
        <v>0.0</v>
      </c>
      <c r="H88" s="2">
        <f>IFERROR(__xludf.DUMMYFUNCTION("SPLIT(A88, ""~;"")"),335.0)</f>
        <v>335</v>
      </c>
    </row>
    <row r="89">
      <c r="A89" s="1">
        <v>335.0</v>
      </c>
      <c r="B89" s="1" t="s">
        <v>63</v>
      </c>
      <c r="C89" s="1" t="s">
        <v>16</v>
      </c>
      <c r="D89" s="1" t="s">
        <v>56</v>
      </c>
      <c r="E89" s="1">
        <v>0.011</v>
      </c>
      <c r="F89" s="1">
        <v>0.0</v>
      </c>
      <c r="G89" s="1">
        <v>0.011</v>
      </c>
      <c r="H89" s="2">
        <f>IFERROR(__xludf.DUMMYFUNCTION("SPLIT(A89, ""~;"")"),335.0)</f>
        <v>335</v>
      </c>
    </row>
    <row r="90">
      <c r="A90" s="1" t="s">
        <v>64</v>
      </c>
      <c r="B90" s="1" t="s">
        <v>65</v>
      </c>
      <c r="C90" s="1" t="s">
        <v>12</v>
      </c>
      <c r="D90" s="1" t="s">
        <v>54</v>
      </c>
      <c r="E90" s="1">
        <v>0.174</v>
      </c>
      <c r="F90" s="1">
        <v>0.015</v>
      </c>
      <c r="G90" s="1">
        <v>0.188</v>
      </c>
      <c r="H90" s="2" t="str">
        <f>IFERROR(__xludf.DUMMYFUNCTION("SPLIT(A90, ""~;"")"),"3361MV")</f>
        <v>3361MV</v>
      </c>
    </row>
    <row r="91">
      <c r="A91" s="1" t="s">
        <v>64</v>
      </c>
      <c r="B91" s="1" t="s">
        <v>65</v>
      </c>
      <c r="C91" s="1" t="s">
        <v>14</v>
      </c>
      <c r="D91" s="1" t="s">
        <v>54</v>
      </c>
      <c r="E91" s="1">
        <v>0.001</v>
      </c>
      <c r="F91" s="1">
        <v>0.0</v>
      </c>
      <c r="G91" s="1">
        <v>0.001</v>
      </c>
      <c r="H91" s="2" t="str">
        <f>IFERROR(__xludf.DUMMYFUNCTION("SPLIT(A91, ""~;"")"),"3361MV")</f>
        <v>3361MV</v>
      </c>
    </row>
    <row r="92">
      <c r="A92" s="1" t="s">
        <v>64</v>
      </c>
      <c r="B92" s="1" t="s">
        <v>65</v>
      </c>
      <c r="C92" s="1" t="s">
        <v>15</v>
      </c>
      <c r="D92" s="1" t="s">
        <v>54</v>
      </c>
      <c r="E92" s="1">
        <v>0.0</v>
      </c>
      <c r="F92" s="1">
        <v>0.0</v>
      </c>
      <c r="G92" s="1">
        <v>0.0</v>
      </c>
      <c r="H92" s="2" t="str">
        <f>IFERROR(__xludf.DUMMYFUNCTION("SPLIT(A92, ""~;"")"),"3361MV")</f>
        <v>3361MV</v>
      </c>
    </row>
    <row r="93">
      <c r="A93" s="1" t="s">
        <v>64</v>
      </c>
      <c r="B93" s="1" t="s">
        <v>65</v>
      </c>
      <c r="C93" s="1" t="s">
        <v>16</v>
      </c>
      <c r="D93" s="1" t="s">
        <v>56</v>
      </c>
      <c r="E93" s="1">
        <v>0.019</v>
      </c>
      <c r="F93" s="1">
        <v>0.0</v>
      </c>
      <c r="G93" s="1">
        <v>0.019</v>
      </c>
      <c r="H93" s="2" t="str">
        <f>IFERROR(__xludf.DUMMYFUNCTION("SPLIT(A93, ""~;"")"),"3361MV")</f>
        <v>3361MV</v>
      </c>
    </row>
    <row r="94">
      <c r="A94" s="1" t="s">
        <v>66</v>
      </c>
      <c r="B94" s="1" t="s">
        <v>67</v>
      </c>
      <c r="C94" s="1" t="s">
        <v>12</v>
      </c>
      <c r="D94" s="1" t="s">
        <v>54</v>
      </c>
      <c r="E94" s="1">
        <v>0.084</v>
      </c>
      <c r="F94" s="1">
        <v>0.006</v>
      </c>
      <c r="G94" s="1">
        <v>0.09</v>
      </c>
      <c r="H94" s="2" t="str">
        <f>IFERROR(__xludf.DUMMYFUNCTION("SPLIT(A94, ""~;"")"),"3364OT")</f>
        <v>3364OT</v>
      </c>
    </row>
    <row r="95">
      <c r="A95" s="1" t="s">
        <v>66</v>
      </c>
      <c r="B95" s="1" t="s">
        <v>67</v>
      </c>
      <c r="C95" s="1" t="s">
        <v>14</v>
      </c>
      <c r="D95" s="1" t="s">
        <v>54</v>
      </c>
      <c r="E95" s="1">
        <v>0.0</v>
      </c>
      <c r="F95" s="1">
        <v>0.0</v>
      </c>
      <c r="G95" s="1">
        <v>0.0</v>
      </c>
      <c r="H95" s="2" t="str">
        <f>IFERROR(__xludf.DUMMYFUNCTION("SPLIT(A95, ""~;"")"),"3364OT")</f>
        <v>3364OT</v>
      </c>
    </row>
    <row r="96">
      <c r="A96" s="1" t="s">
        <v>66</v>
      </c>
      <c r="B96" s="1" t="s">
        <v>67</v>
      </c>
      <c r="C96" s="1" t="s">
        <v>15</v>
      </c>
      <c r="D96" s="1" t="s">
        <v>54</v>
      </c>
      <c r="E96" s="1">
        <v>0.0</v>
      </c>
      <c r="F96" s="1">
        <v>0.0</v>
      </c>
      <c r="G96" s="1">
        <v>0.0</v>
      </c>
      <c r="H96" s="2" t="str">
        <f>IFERROR(__xludf.DUMMYFUNCTION("SPLIT(A96, ""~;"")"),"3364OT")</f>
        <v>3364OT</v>
      </c>
    </row>
    <row r="97">
      <c r="A97" s="1" t="s">
        <v>66</v>
      </c>
      <c r="B97" s="1" t="s">
        <v>67</v>
      </c>
      <c r="C97" s="1" t="s">
        <v>16</v>
      </c>
      <c r="D97" s="1" t="s">
        <v>56</v>
      </c>
      <c r="E97" s="1">
        <v>0.005</v>
      </c>
      <c r="F97" s="1">
        <v>0.0</v>
      </c>
      <c r="G97" s="1">
        <v>0.005</v>
      </c>
      <c r="H97" s="2" t="str">
        <f>IFERROR(__xludf.DUMMYFUNCTION("SPLIT(A97, ""~;"")"),"3364OT")</f>
        <v>3364OT</v>
      </c>
    </row>
    <row r="98">
      <c r="A98" s="1">
        <v>337.0</v>
      </c>
      <c r="B98" s="1" t="s">
        <v>68</v>
      </c>
      <c r="C98" s="1" t="s">
        <v>12</v>
      </c>
      <c r="D98" s="1" t="s">
        <v>54</v>
      </c>
      <c r="E98" s="1">
        <v>0.159</v>
      </c>
      <c r="F98" s="1">
        <v>0.087</v>
      </c>
      <c r="G98" s="1">
        <v>0.246</v>
      </c>
      <c r="H98" s="2">
        <f>IFERROR(__xludf.DUMMYFUNCTION("SPLIT(A98, ""~;"")"),337.0)</f>
        <v>337</v>
      </c>
    </row>
    <row r="99">
      <c r="A99" s="1">
        <v>337.0</v>
      </c>
      <c r="B99" s="1" t="s">
        <v>68</v>
      </c>
      <c r="C99" s="1" t="s">
        <v>14</v>
      </c>
      <c r="D99" s="1" t="s">
        <v>54</v>
      </c>
      <c r="E99" s="1">
        <v>0.001</v>
      </c>
      <c r="F99" s="1">
        <v>0.001</v>
      </c>
      <c r="G99" s="1">
        <v>0.001</v>
      </c>
      <c r="H99" s="2">
        <f>IFERROR(__xludf.DUMMYFUNCTION("SPLIT(A99, ""~;"")"),337.0)</f>
        <v>337</v>
      </c>
    </row>
    <row r="100">
      <c r="A100" s="1">
        <v>337.0</v>
      </c>
      <c r="B100" s="1" t="s">
        <v>68</v>
      </c>
      <c r="C100" s="1" t="s">
        <v>15</v>
      </c>
      <c r="D100" s="1" t="s">
        <v>54</v>
      </c>
      <c r="E100" s="1">
        <v>0.0</v>
      </c>
      <c r="F100" s="1">
        <v>0.0</v>
      </c>
      <c r="G100" s="1">
        <v>0.0</v>
      </c>
      <c r="H100" s="2">
        <f>IFERROR(__xludf.DUMMYFUNCTION("SPLIT(A100, ""~;"")"),337.0)</f>
        <v>337</v>
      </c>
    </row>
    <row r="101">
      <c r="A101" s="1">
        <v>337.0</v>
      </c>
      <c r="B101" s="1" t="s">
        <v>68</v>
      </c>
      <c r="C101" s="1" t="s">
        <v>16</v>
      </c>
      <c r="D101" s="1" t="s">
        <v>56</v>
      </c>
      <c r="E101" s="1">
        <v>0.021</v>
      </c>
      <c r="F101" s="1">
        <v>0.0</v>
      </c>
      <c r="G101" s="1">
        <v>0.021</v>
      </c>
      <c r="H101" s="2">
        <f>IFERROR(__xludf.DUMMYFUNCTION("SPLIT(A101, ""~;"")"),337.0)</f>
        <v>337</v>
      </c>
    </row>
    <row r="102">
      <c r="A102" s="1">
        <v>339.0</v>
      </c>
      <c r="B102" s="1" t="s">
        <v>69</v>
      </c>
      <c r="C102" s="1" t="s">
        <v>12</v>
      </c>
      <c r="D102" s="1" t="s">
        <v>54</v>
      </c>
      <c r="E102" s="1">
        <v>0.158</v>
      </c>
      <c r="F102" s="1">
        <v>0.069</v>
      </c>
      <c r="G102" s="1">
        <v>0.227</v>
      </c>
      <c r="H102" s="2">
        <f>IFERROR(__xludf.DUMMYFUNCTION("SPLIT(A102, ""~;"")"),339.0)</f>
        <v>339</v>
      </c>
    </row>
    <row r="103">
      <c r="A103" s="1">
        <v>339.0</v>
      </c>
      <c r="B103" s="1" t="s">
        <v>69</v>
      </c>
      <c r="C103" s="1" t="s">
        <v>14</v>
      </c>
      <c r="D103" s="1" t="s">
        <v>54</v>
      </c>
      <c r="E103" s="1">
        <v>0.001</v>
      </c>
      <c r="F103" s="1">
        <v>0.001</v>
      </c>
      <c r="G103" s="1">
        <v>0.001</v>
      </c>
      <c r="H103" s="2">
        <f>IFERROR(__xludf.DUMMYFUNCTION("SPLIT(A103, ""~;"")"),339.0)</f>
        <v>339</v>
      </c>
    </row>
    <row r="104">
      <c r="A104" s="1">
        <v>339.0</v>
      </c>
      <c r="B104" s="1" t="s">
        <v>69</v>
      </c>
      <c r="C104" s="1" t="s">
        <v>15</v>
      </c>
      <c r="D104" s="1" t="s">
        <v>54</v>
      </c>
      <c r="E104" s="1">
        <v>0.0</v>
      </c>
      <c r="F104" s="1">
        <v>0.0</v>
      </c>
      <c r="G104" s="1">
        <v>0.0</v>
      </c>
      <c r="H104" s="2">
        <f>IFERROR(__xludf.DUMMYFUNCTION("SPLIT(A104, ""~;"")"),339.0)</f>
        <v>339</v>
      </c>
    </row>
    <row r="105">
      <c r="A105" s="1">
        <v>339.0</v>
      </c>
      <c r="B105" s="1" t="s">
        <v>69</v>
      </c>
      <c r="C105" s="1" t="s">
        <v>16</v>
      </c>
      <c r="D105" s="1" t="s">
        <v>56</v>
      </c>
      <c r="E105" s="1">
        <v>0.005</v>
      </c>
      <c r="F105" s="1">
        <v>0.0</v>
      </c>
      <c r="G105" s="1">
        <v>0.005</v>
      </c>
      <c r="H105" s="2">
        <f>IFERROR(__xludf.DUMMYFUNCTION("SPLIT(A105, ""~;"")"),339.0)</f>
        <v>339</v>
      </c>
    </row>
    <row r="106">
      <c r="A106" s="1">
        <v>42.0</v>
      </c>
      <c r="B106" s="1" t="s">
        <v>70</v>
      </c>
      <c r="C106" s="1" t="s">
        <v>12</v>
      </c>
      <c r="D106" s="1" t="s">
        <v>54</v>
      </c>
      <c r="E106" s="1">
        <v>0.113</v>
      </c>
      <c r="F106" s="1">
        <v>0.0</v>
      </c>
      <c r="G106" s="1">
        <v>0.113</v>
      </c>
      <c r="H106" s="2">
        <f>IFERROR(__xludf.DUMMYFUNCTION("SPLIT(A106, ""~;"")"),42.0)</f>
        <v>42</v>
      </c>
    </row>
    <row r="107">
      <c r="A107" s="1">
        <v>42.0</v>
      </c>
      <c r="B107" s="1" t="s">
        <v>70</v>
      </c>
      <c r="C107" s="1" t="s">
        <v>14</v>
      </c>
      <c r="D107" s="1" t="s">
        <v>54</v>
      </c>
      <c r="E107" s="1">
        <v>0.001</v>
      </c>
      <c r="F107" s="1">
        <v>0.0</v>
      </c>
      <c r="G107" s="1">
        <v>0.001</v>
      </c>
      <c r="H107" s="2">
        <f>IFERROR(__xludf.DUMMYFUNCTION("SPLIT(A107, ""~;"")"),42.0)</f>
        <v>42</v>
      </c>
    </row>
    <row r="108">
      <c r="A108" s="1">
        <v>42.0</v>
      </c>
      <c r="B108" s="1" t="s">
        <v>70</v>
      </c>
      <c r="C108" s="1" t="s">
        <v>15</v>
      </c>
      <c r="D108" s="1" t="s">
        <v>54</v>
      </c>
      <c r="E108" s="1">
        <v>0.0</v>
      </c>
      <c r="F108" s="1">
        <v>0.0</v>
      </c>
      <c r="G108" s="1">
        <v>0.0</v>
      </c>
      <c r="H108" s="2">
        <f>IFERROR(__xludf.DUMMYFUNCTION("SPLIT(A108, ""~;"")"),42.0)</f>
        <v>42</v>
      </c>
    </row>
    <row r="109">
      <c r="A109" s="1">
        <v>42.0</v>
      </c>
      <c r="B109" s="1" t="s">
        <v>70</v>
      </c>
      <c r="C109" s="1" t="s">
        <v>16</v>
      </c>
      <c r="D109" s="1" t="s">
        <v>56</v>
      </c>
      <c r="E109" s="1">
        <v>0.003</v>
      </c>
      <c r="F109" s="1">
        <v>0.0</v>
      </c>
      <c r="G109" s="1">
        <v>0.003</v>
      </c>
      <c r="H109" s="2">
        <f>IFERROR(__xludf.DUMMYFUNCTION("SPLIT(A109, ""~;"")"),42.0)</f>
        <v>42</v>
      </c>
    </row>
    <row r="110">
      <c r="A110" s="1">
        <v>441.0</v>
      </c>
      <c r="B110" s="1" t="s">
        <v>71</v>
      </c>
      <c r="C110" s="1" t="s">
        <v>12</v>
      </c>
      <c r="D110" s="1" t="s">
        <v>54</v>
      </c>
      <c r="E110" s="1">
        <v>0.12</v>
      </c>
      <c r="F110" s="1">
        <v>0.0</v>
      </c>
      <c r="G110" s="1">
        <v>0.12</v>
      </c>
      <c r="H110" s="2">
        <f>IFERROR(__xludf.DUMMYFUNCTION("SPLIT(A110, ""~;"")"),441.0)</f>
        <v>441</v>
      </c>
    </row>
    <row r="111">
      <c r="A111" s="1">
        <v>441.0</v>
      </c>
      <c r="B111" s="1" t="s">
        <v>71</v>
      </c>
      <c r="C111" s="1" t="s">
        <v>14</v>
      </c>
      <c r="D111" s="1" t="s">
        <v>54</v>
      </c>
      <c r="E111" s="1">
        <v>0.001</v>
      </c>
      <c r="F111" s="1">
        <v>0.0</v>
      </c>
      <c r="G111" s="1">
        <v>0.001</v>
      </c>
      <c r="H111" s="2">
        <f>IFERROR(__xludf.DUMMYFUNCTION("SPLIT(A111, ""~;"")"),441.0)</f>
        <v>441</v>
      </c>
    </row>
    <row r="112">
      <c r="A112" s="1">
        <v>441.0</v>
      </c>
      <c r="B112" s="1" t="s">
        <v>71</v>
      </c>
      <c r="C112" s="1" t="s">
        <v>15</v>
      </c>
      <c r="D112" s="1" t="s">
        <v>54</v>
      </c>
      <c r="E112" s="1">
        <v>0.0</v>
      </c>
      <c r="F112" s="1">
        <v>0.0</v>
      </c>
      <c r="G112" s="1">
        <v>0.0</v>
      </c>
      <c r="H112" s="2">
        <f>IFERROR(__xludf.DUMMYFUNCTION("SPLIT(A112, ""~;"")"),441.0)</f>
        <v>441</v>
      </c>
    </row>
    <row r="113">
      <c r="A113" s="1">
        <v>441.0</v>
      </c>
      <c r="B113" s="1" t="s">
        <v>71</v>
      </c>
      <c r="C113" s="1" t="s">
        <v>16</v>
      </c>
      <c r="D113" s="1" t="s">
        <v>56</v>
      </c>
      <c r="E113" s="1">
        <v>0.002</v>
      </c>
      <c r="F113" s="1">
        <v>0.0</v>
      </c>
      <c r="G113" s="1">
        <v>0.002</v>
      </c>
      <c r="H113" s="2">
        <f>IFERROR(__xludf.DUMMYFUNCTION("SPLIT(A113, ""~;"")"),441.0)</f>
        <v>441</v>
      </c>
    </row>
    <row r="114">
      <c r="A114" s="1">
        <v>445.0</v>
      </c>
      <c r="B114" s="1" t="s">
        <v>72</v>
      </c>
      <c r="C114" s="1" t="s">
        <v>12</v>
      </c>
      <c r="D114" s="1" t="s">
        <v>54</v>
      </c>
      <c r="E114" s="1">
        <v>0.219</v>
      </c>
      <c r="F114" s="1">
        <v>0.0</v>
      </c>
      <c r="G114" s="1">
        <v>0.219</v>
      </c>
      <c r="H114" s="2">
        <f>IFERROR(__xludf.DUMMYFUNCTION("SPLIT(A114, ""~;"")"),445.0)</f>
        <v>445</v>
      </c>
    </row>
    <row r="115">
      <c r="A115" s="1">
        <v>445.0</v>
      </c>
      <c r="B115" s="1" t="s">
        <v>72</v>
      </c>
      <c r="C115" s="1" t="s">
        <v>14</v>
      </c>
      <c r="D115" s="1" t="s">
        <v>54</v>
      </c>
      <c r="E115" s="1">
        <v>0.001</v>
      </c>
      <c r="F115" s="1">
        <v>0.0</v>
      </c>
      <c r="G115" s="1">
        <v>0.001</v>
      </c>
      <c r="H115" s="2">
        <f>IFERROR(__xludf.DUMMYFUNCTION("SPLIT(A115, ""~;"")"),445.0)</f>
        <v>445</v>
      </c>
    </row>
    <row r="116">
      <c r="A116" s="1">
        <v>445.0</v>
      </c>
      <c r="B116" s="1" t="s">
        <v>72</v>
      </c>
      <c r="C116" s="1" t="s">
        <v>15</v>
      </c>
      <c r="D116" s="1" t="s">
        <v>54</v>
      </c>
      <c r="E116" s="1">
        <v>0.0</v>
      </c>
      <c r="F116" s="1">
        <v>0.0</v>
      </c>
      <c r="G116" s="1">
        <v>0.0</v>
      </c>
      <c r="H116" s="2">
        <f>IFERROR(__xludf.DUMMYFUNCTION("SPLIT(A116, ""~;"")"),445.0)</f>
        <v>445</v>
      </c>
    </row>
    <row r="117">
      <c r="A117" s="1">
        <v>445.0</v>
      </c>
      <c r="B117" s="1" t="s">
        <v>72</v>
      </c>
      <c r="C117" s="1" t="s">
        <v>16</v>
      </c>
      <c r="D117" s="1" t="s">
        <v>56</v>
      </c>
      <c r="E117" s="1">
        <v>0.004</v>
      </c>
      <c r="F117" s="1">
        <v>0.0</v>
      </c>
      <c r="G117" s="1">
        <v>0.004</v>
      </c>
      <c r="H117" s="2">
        <f>IFERROR(__xludf.DUMMYFUNCTION("SPLIT(A117, ""~;"")"),445.0)</f>
        <v>445</v>
      </c>
    </row>
    <row r="118">
      <c r="A118" s="1">
        <v>452.0</v>
      </c>
      <c r="B118" s="1" t="s">
        <v>73</v>
      </c>
      <c r="C118" s="1" t="s">
        <v>12</v>
      </c>
      <c r="D118" s="1" t="s">
        <v>54</v>
      </c>
      <c r="E118" s="1">
        <v>0.15</v>
      </c>
      <c r="F118" s="1">
        <v>0.0</v>
      </c>
      <c r="G118" s="1">
        <v>0.15</v>
      </c>
      <c r="H118" s="2">
        <f>IFERROR(__xludf.DUMMYFUNCTION("SPLIT(A118, ""~;"")"),452.0)</f>
        <v>452</v>
      </c>
    </row>
    <row r="119">
      <c r="A119" s="1">
        <v>452.0</v>
      </c>
      <c r="B119" s="1" t="s">
        <v>73</v>
      </c>
      <c r="C119" s="1" t="s">
        <v>14</v>
      </c>
      <c r="D119" s="1" t="s">
        <v>54</v>
      </c>
      <c r="E119" s="1">
        <v>0.001</v>
      </c>
      <c r="F119" s="1">
        <v>0.0</v>
      </c>
      <c r="G119" s="1">
        <v>0.001</v>
      </c>
      <c r="H119" s="2">
        <f>IFERROR(__xludf.DUMMYFUNCTION("SPLIT(A119, ""~;"")"),452.0)</f>
        <v>452</v>
      </c>
    </row>
    <row r="120">
      <c r="A120" s="1">
        <v>452.0</v>
      </c>
      <c r="B120" s="1" t="s">
        <v>73</v>
      </c>
      <c r="C120" s="1" t="s">
        <v>15</v>
      </c>
      <c r="D120" s="1" t="s">
        <v>54</v>
      </c>
      <c r="E120" s="1">
        <v>0.0</v>
      </c>
      <c r="F120" s="1">
        <v>0.0</v>
      </c>
      <c r="G120" s="1">
        <v>0.0</v>
      </c>
      <c r="H120" s="2">
        <f>IFERROR(__xludf.DUMMYFUNCTION("SPLIT(A120, ""~;"")"),452.0)</f>
        <v>452</v>
      </c>
    </row>
    <row r="121">
      <c r="A121" s="1">
        <v>452.0</v>
      </c>
      <c r="B121" s="1" t="s">
        <v>73</v>
      </c>
      <c r="C121" s="1" t="s">
        <v>16</v>
      </c>
      <c r="D121" s="1" t="s">
        <v>56</v>
      </c>
      <c r="E121" s="1">
        <v>0.002</v>
      </c>
      <c r="F121" s="1">
        <v>0.0</v>
      </c>
      <c r="G121" s="1">
        <v>0.002</v>
      </c>
      <c r="H121" s="2">
        <f>IFERROR(__xludf.DUMMYFUNCTION("SPLIT(A121, ""~;"")"),452.0)</f>
        <v>452</v>
      </c>
    </row>
    <row r="122">
      <c r="A122" s="1">
        <v>481.0</v>
      </c>
      <c r="B122" s="1" t="s">
        <v>74</v>
      </c>
      <c r="C122" s="1" t="s">
        <v>12</v>
      </c>
      <c r="D122" s="1" t="s">
        <v>54</v>
      </c>
      <c r="E122" s="1">
        <v>0.871</v>
      </c>
      <c r="F122" s="1">
        <v>0.0</v>
      </c>
      <c r="G122" s="1">
        <v>0.871</v>
      </c>
      <c r="H122" s="2">
        <f>IFERROR(__xludf.DUMMYFUNCTION("SPLIT(A122, ""~;"")"),481.0)</f>
        <v>481</v>
      </c>
    </row>
    <row r="123">
      <c r="A123" s="1">
        <v>481.0</v>
      </c>
      <c r="B123" s="1" t="s">
        <v>74</v>
      </c>
      <c r="C123" s="1" t="s">
        <v>14</v>
      </c>
      <c r="D123" s="1" t="s">
        <v>54</v>
      </c>
      <c r="E123" s="1">
        <v>0.002</v>
      </c>
      <c r="F123" s="1">
        <v>0.0</v>
      </c>
      <c r="G123" s="1">
        <v>0.002</v>
      </c>
      <c r="H123" s="2">
        <f>IFERROR(__xludf.DUMMYFUNCTION("SPLIT(A123, ""~;"")"),481.0)</f>
        <v>481</v>
      </c>
    </row>
    <row r="124">
      <c r="A124" s="1">
        <v>481.0</v>
      </c>
      <c r="B124" s="1" t="s">
        <v>74</v>
      </c>
      <c r="C124" s="1" t="s">
        <v>15</v>
      </c>
      <c r="D124" s="1" t="s">
        <v>54</v>
      </c>
      <c r="E124" s="1">
        <v>0.0</v>
      </c>
      <c r="F124" s="1">
        <v>0.0</v>
      </c>
      <c r="G124" s="1">
        <v>0.0</v>
      </c>
      <c r="H124" s="2">
        <f>IFERROR(__xludf.DUMMYFUNCTION("SPLIT(A124, ""~;"")"),481.0)</f>
        <v>481</v>
      </c>
    </row>
    <row r="125">
      <c r="A125" s="1">
        <v>481.0</v>
      </c>
      <c r="B125" s="1" t="s">
        <v>74</v>
      </c>
      <c r="C125" s="1" t="s">
        <v>16</v>
      </c>
      <c r="D125" s="1" t="s">
        <v>56</v>
      </c>
      <c r="E125" s="1">
        <v>0.002</v>
      </c>
      <c r="F125" s="1">
        <v>0.0</v>
      </c>
      <c r="G125" s="1">
        <v>0.002</v>
      </c>
      <c r="H125" s="2">
        <f>IFERROR(__xludf.DUMMYFUNCTION("SPLIT(A125, ""~;"")"),481.0)</f>
        <v>481</v>
      </c>
    </row>
    <row r="126">
      <c r="A126" s="1">
        <v>482.0</v>
      </c>
      <c r="B126" s="1" t="s">
        <v>75</v>
      </c>
      <c r="C126" s="1" t="s">
        <v>12</v>
      </c>
      <c r="D126" s="1" t="s">
        <v>54</v>
      </c>
      <c r="E126" s="1">
        <v>0.693</v>
      </c>
      <c r="F126" s="1">
        <v>0.0</v>
      </c>
      <c r="G126" s="1">
        <v>0.693</v>
      </c>
      <c r="H126" s="2">
        <f>IFERROR(__xludf.DUMMYFUNCTION("SPLIT(A126, ""~;"")"),482.0)</f>
        <v>482</v>
      </c>
    </row>
    <row r="127">
      <c r="A127" s="1">
        <v>482.0</v>
      </c>
      <c r="B127" s="1" t="s">
        <v>75</v>
      </c>
      <c r="C127" s="1" t="s">
        <v>14</v>
      </c>
      <c r="D127" s="1" t="s">
        <v>54</v>
      </c>
      <c r="E127" s="1">
        <v>0.001</v>
      </c>
      <c r="F127" s="1">
        <v>0.0</v>
      </c>
      <c r="G127" s="1">
        <v>0.001</v>
      </c>
      <c r="H127" s="2">
        <f>IFERROR(__xludf.DUMMYFUNCTION("SPLIT(A127, ""~;"")"),482.0)</f>
        <v>482</v>
      </c>
    </row>
    <row r="128">
      <c r="A128" s="1">
        <v>482.0</v>
      </c>
      <c r="B128" s="1" t="s">
        <v>75</v>
      </c>
      <c r="C128" s="1" t="s">
        <v>15</v>
      </c>
      <c r="D128" s="1" t="s">
        <v>54</v>
      </c>
      <c r="E128" s="1">
        <v>0.0</v>
      </c>
      <c r="F128" s="1">
        <v>0.0</v>
      </c>
      <c r="G128" s="1">
        <v>0.0</v>
      </c>
      <c r="H128" s="2">
        <f>IFERROR(__xludf.DUMMYFUNCTION("SPLIT(A128, ""~;"")"),482.0)</f>
        <v>482</v>
      </c>
    </row>
    <row r="129">
      <c r="A129" s="1">
        <v>482.0</v>
      </c>
      <c r="B129" s="1" t="s">
        <v>75</v>
      </c>
      <c r="C129" s="1" t="s">
        <v>16</v>
      </c>
      <c r="D129" s="1" t="s">
        <v>56</v>
      </c>
      <c r="E129" s="1">
        <v>0.004</v>
      </c>
      <c r="F129" s="1">
        <v>0.0</v>
      </c>
      <c r="G129" s="1">
        <v>0.004</v>
      </c>
      <c r="H129" s="2">
        <f>IFERROR(__xludf.DUMMYFUNCTION("SPLIT(A129, ""~;"")"),482.0)</f>
        <v>482</v>
      </c>
    </row>
    <row r="130">
      <c r="A130" s="1">
        <v>483.0</v>
      </c>
      <c r="B130" s="1" t="s">
        <v>76</v>
      </c>
      <c r="C130" s="1" t="s">
        <v>12</v>
      </c>
      <c r="D130" s="1" t="s">
        <v>54</v>
      </c>
      <c r="E130" s="1">
        <v>0.635</v>
      </c>
      <c r="F130" s="1">
        <v>0.0</v>
      </c>
      <c r="G130" s="1">
        <v>0.635</v>
      </c>
      <c r="H130" s="2">
        <f>IFERROR(__xludf.DUMMYFUNCTION("SPLIT(A130, ""~;"")"),483.0)</f>
        <v>483</v>
      </c>
    </row>
    <row r="131">
      <c r="A131" s="1">
        <v>483.0</v>
      </c>
      <c r="B131" s="1" t="s">
        <v>76</v>
      </c>
      <c r="C131" s="1" t="s">
        <v>14</v>
      </c>
      <c r="D131" s="1" t="s">
        <v>54</v>
      </c>
      <c r="E131" s="1">
        <v>0.002</v>
      </c>
      <c r="F131" s="1">
        <v>0.0</v>
      </c>
      <c r="G131" s="1">
        <v>0.002</v>
      </c>
      <c r="H131" s="2">
        <f>IFERROR(__xludf.DUMMYFUNCTION("SPLIT(A131, ""~;"")"),483.0)</f>
        <v>483</v>
      </c>
    </row>
    <row r="132">
      <c r="A132" s="1">
        <v>483.0</v>
      </c>
      <c r="B132" s="1" t="s">
        <v>76</v>
      </c>
      <c r="C132" s="1" t="s">
        <v>15</v>
      </c>
      <c r="D132" s="1" t="s">
        <v>54</v>
      </c>
      <c r="E132" s="1">
        <v>0.0</v>
      </c>
      <c r="F132" s="1">
        <v>0.0</v>
      </c>
      <c r="G132" s="1">
        <v>0.0</v>
      </c>
      <c r="H132" s="2">
        <f>IFERROR(__xludf.DUMMYFUNCTION("SPLIT(A132, ""~;"")"),483.0)</f>
        <v>483</v>
      </c>
    </row>
    <row r="133">
      <c r="A133" s="1">
        <v>483.0</v>
      </c>
      <c r="B133" s="1" t="s">
        <v>76</v>
      </c>
      <c r="C133" s="1" t="s">
        <v>16</v>
      </c>
      <c r="D133" s="1" t="s">
        <v>56</v>
      </c>
      <c r="E133" s="1">
        <v>0.057</v>
      </c>
      <c r="F133" s="1">
        <v>0.0</v>
      </c>
      <c r="G133" s="1">
        <v>0.057</v>
      </c>
      <c r="H133" s="2">
        <f>IFERROR(__xludf.DUMMYFUNCTION("SPLIT(A133, ""~;"")"),483.0)</f>
        <v>483</v>
      </c>
    </row>
    <row r="134">
      <c r="A134" s="1">
        <v>484.0</v>
      </c>
      <c r="B134" s="1" t="s">
        <v>77</v>
      </c>
      <c r="C134" s="1" t="s">
        <v>12</v>
      </c>
      <c r="D134" s="1" t="s">
        <v>54</v>
      </c>
      <c r="E134" s="1">
        <v>1.318</v>
      </c>
      <c r="F134" s="1">
        <v>0.0</v>
      </c>
      <c r="G134" s="1">
        <v>1.318</v>
      </c>
      <c r="H134" s="2">
        <f>IFERROR(__xludf.DUMMYFUNCTION("SPLIT(A134, ""~;"")"),484.0)</f>
        <v>484</v>
      </c>
    </row>
    <row r="135">
      <c r="A135" s="1">
        <v>484.0</v>
      </c>
      <c r="B135" s="1" t="s">
        <v>77</v>
      </c>
      <c r="C135" s="1" t="s">
        <v>14</v>
      </c>
      <c r="D135" s="1" t="s">
        <v>54</v>
      </c>
      <c r="E135" s="1">
        <v>0.002</v>
      </c>
      <c r="F135" s="1">
        <v>0.0</v>
      </c>
      <c r="G135" s="1">
        <v>0.002</v>
      </c>
      <c r="H135" s="2">
        <f>IFERROR(__xludf.DUMMYFUNCTION("SPLIT(A135, ""~;"")"),484.0)</f>
        <v>484</v>
      </c>
    </row>
    <row r="136">
      <c r="A136" s="1">
        <v>484.0</v>
      </c>
      <c r="B136" s="1" t="s">
        <v>77</v>
      </c>
      <c r="C136" s="1" t="s">
        <v>15</v>
      </c>
      <c r="D136" s="1" t="s">
        <v>54</v>
      </c>
      <c r="E136" s="1">
        <v>0.0</v>
      </c>
      <c r="F136" s="1">
        <v>0.0</v>
      </c>
      <c r="G136" s="1">
        <v>0.0</v>
      </c>
      <c r="H136" s="2">
        <f>IFERROR(__xludf.DUMMYFUNCTION("SPLIT(A136, ""~;"")"),484.0)</f>
        <v>484</v>
      </c>
    </row>
    <row r="137">
      <c r="A137" s="1">
        <v>484.0</v>
      </c>
      <c r="B137" s="1" t="s">
        <v>77</v>
      </c>
      <c r="C137" s="1" t="s">
        <v>16</v>
      </c>
      <c r="D137" s="1" t="s">
        <v>56</v>
      </c>
      <c r="E137" s="1">
        <v>0.021</v>
      </c>
      <c r="F137" s="1">
        <v>0.0</v>
      </c>
      <c r="G137" s="1">
        <v>0.021</v>
      </c>
      <c r="H137" s="2">
        <f>IFERROR(__xludf.DUMMYFUNCTION("SPLIT(A137, ""~;"")"),484.0)</f>
        <v>484</v>
      </c>
    </row>
    <row r="138">
      <c r="A138" s="1">
        <v>485.0</v>
      </c>
      <c r="B138" s="1" t="s">
        <v>78</v>
      </c>
      <c r="C138" s="1" t="s">
        <v>12</v>
      </c>
      <c r="D138" s="1" t="s">
        <v>54</v>
      </c>
      <c r="E138" s="1">
        <v>0.312</v>
      </c>
      <c r="F138" s="1">
        <v>0.0</v>
      </c>
      <c r="G138" s="1">
        <v>0.312</v>
      </c>
      <c r="H138" s="2">
        <f>IFERROR(__xludf.DUMMYFUNCTION("SPLIT(A138, ""~;"")"),485.0)</f>
        <v>485</v>
      </c>
    </row>
    <row r="139">
      <c r="A139" s="1">
        <v>485.0</v>
      </c>
      <c r="B139" s="1" t="s">
        <v>78</v>
      </c>
      <c r="C139" s="1" t="s">
        <v>14</v>
      </c>
      <c r="D139" s="1" t="s">
        <v>54</v>
      </c>
      <c r="E139" s="1">
        <v>0.001</v>
      </c>
      <c r="F139" s="1">
        <v>0.0</v>
      </c>
      <c r="G139" s="1">
        <v>0.001</v>
      </c>
      <c r="H139" s="2">
        <f>IFERROR(__xludf.DUMMYFUNCTION("SPLIT(A139, ""~;"")"),485.0)</f>
        <v>485</v>
      </c>
    </row>
    <row r="140">
      <c r="A140" s="1">
        <v>485.0</v>
      </c>
      <c r="B140" s="1" t="s">
        <v>78</v>
      </c>
      <c r="C140" s="1" t="s">
        <v>15</v>
      </c>
      <c r="D140" s="1" t="s">
        <v>54</v>
      </c>
      <c r="E140" s="1">
        <v>0.0</v>
      </c>
      <c r="F140" s="1">
        <v>0.0</v>
      </c>
      <c r="G140" s="1">
        <v>0.0</v>
      </c>
      <c r="H140" s="2">
        <f>IFERROR(__xludf.DUMMYFUNCTION("SPLIT(A140, ""~;"")"),485.0)</f>
        <v>485</v>
      </c>
    </row>
    <row r="141">
      <c r="A141" s="1">
        <v>485.0</v>
      </c>
      <c r="B141" s="1" t="s">
        <v>78</v>
      </c>
      <c r="C141" s="1" t="s">
        <v>16</v>
      </c>
      <c r="D141" s="1" t="s">
        <v>56</v>
      </c>
      <c r="E141" s="1">
        <v>0.006</v>
      </c>
      <c r="F141" s="1">
        <v>0.0</v>
      </c>
      <c r="G141" s="1">
        <v>0.006</v>
      </c>
      <c r="H141" s="2">
        <f>IFERROR(__xludf.DUMMYFUNCTION("SPLIT(A141, ""~;"")"),485.0)</f>
        <v>485</v>
      </c>
    </row>
    <row r="142">
      <c r="A142" s="1">
        <v>486.0</v>
      </c>
      <c r="B142" s="1" t="s">
        <v>79</v>
      </c>
      <c r="C142" s="1" t="s">
        <v>12</v>
      </c>
      <c r="D142" s="1" t="s">
        <v>54</v>
      </c>
      <c r="E142" s="1">
        <v>1.08</v>
      </c>
      <c r="F142" s="1">
        <v>0.0</v>
      </c>
      <c r="G142" s="1">
        <v>1.08</v>
      </c>
      <c r="H142" s="2">
        <f>IFERROR(__xludf.DUMMYFUNCTION("SPLIT(A142, ""~;"")"),486.0)</f>
        <v>486</v>
      </c>
    </row>
    <row r="143">
      <c r="A143" s="1">
        <v>486.0</v>
      </c>
      <c r="B143" s="1" t="s">
        <v>79</v>
      </c>
      <c r="C143" s="1" t="s">
        <v>14</v>
      </c>
      <c r="D143" s="1" t="s">
        <v>54</v>
      </c>
      <c r="E143" s="1">
        <v>0.028</v>
      </c>
      <c r="F143" s="1">
        <v>0.0</v>
      </c>
      <c r="G143" s="1">
        <v>0.028</v>
      </c>
      <c r="H143" s="2">
        <f>IFERROR(__xludf.DUMMYFUNCTION("SPLIT(A143, ""~;"")"),486.0)</f>
        <v>486</v>
      </c>
    </row>
    <row r="144">
      <c r="A144" s="1">
        <v>486.0</v>
      </c>
      <c r="B144" s="1" t="s">
        <v>79</v>
      </c>
      <c r="C144" s="1" t="s">
        <v>15</v>
      </c>
      <c r="D144" s="1" t="s">
        <v>54</v>
      </c>
      <c r="E144" s="1">
        <v>0.0</v>
      </c>
      <c r="F144" s="1">
        <v>0.0</v>
      </c>
      <c r="G144" s="1">
        <v>0.0</v>
      </c>
      <c r="H144" s="2">
        <f>IFERROR(__xludf.DUMMYFUNCTION("SPLIT(A144, ""~;"")"),486.0)</f>
        <v>486</v>
      </c>
    </row>
    <row r="145">
      <c r="A145" s="1">
        <v>486.0</v>
      </c>
      <c r="B145" s="1" t="s">
        <v>79</v>
      </c>
      <c r="C145" s="1" t="s">
        <v>16</v>
      </c>
      <c r="D145" s="1" t="s">
        <v>56</v>
      </c>
      <c r="E145" s="1">
        <v>0.011</v>
      </c>
      <c r="F145" s="1">
        <v>0.0</v>
      </c>
      <c r="G145" s="1">
        <v>0.011</v>
      </c>
      <c r="H145" s="2">
        <f>IFERROR(__xludf.DUMMYFUNCTION("SPLIT(A145, ""~;"")"),486.0)</f>
        <v>486</v>
      </c>
    </row>
    <row r="146">
      <c r="A146" s="1" t="s">
        <v>80</v>
      </c>
      <c r="B146" s="1" t="s">
        <v>81</v>
      </c>
      <c r="C146" s="1" t="s">
        <v>12</v>
      </c>
      <c r="D146" s="1" t="s">
        <v>54</v>
      </c>
      <c r="E146" s="1">
        <v>0.371</v>
      </c>
      <c r="F146" s="1">
        <v>0.0</v>
      </c>
      <c r="G146" s="1">
        <v>0.371</v>
      </c>
      <c r="H146" s="2" t="str">
        <f>IFERROR(__xludf.DUMMYFUNCTION("SPLIT(A146, ""~;"")"),"487OS")</f>
        <v>487OS</v>
      </c>
    </row>
    <row r="147">
      <c r="A147" s="1" t="s">
        <v>80</v>
      </c>
      <c r="B147" s="1" t="s">
        <v>81</v>
      </c>
      <c r="C147" s="1" t="s">
        <v>14</v>
      </c>
      <c r="D147" s="1" t="s">
        <v>54</v>
      </c>
      <c r="E147" s="1">
        <v>0.002</v>
      </c>
      <c r="F147" s="1">
        <v>0.0</v>
      </c>
      <c r="G147" s="1">
        <v>0.002</v>
      </c>
      <c r="H147" s="2" t="str">
        <f>IFERROR(__xludf.DUMMYFUNCTION("SPLIT(A147, ""~;"")"),"487OS")</f>
        <v>487OS</v>
      </c>
    </row>
    <row r="148">
      <c r="A148" s="1" t="s">
        <v>80</v>
      </c>
      <c r="B148" s="1" t="s">
        <v>81</v>
      </c>
      <c r="C148" s="1" t="s">
        <v>15</v>
      </c>
      <c r="D148" s="1" t="s">
        <v>54</v>
      </c>
      <c r="E148" s="1">
        <v>0.0</v>
      </c>
      <c r="F148" s="1">
        <v>0.0</v>
      </c>
      <c r="G148" s="1">
        <v>0.0</v>
      </c>
      <c r="H148" s="2" t="str">
        <f>IFERROR(__xludf.DUMMYFUNCTION("SPLIT(A148, ""~;"")"),"487OS")</f>
        <v>487OS</v>
      </c>
    </row>
    <row r="149">
      <c r="A149" s="1" t="s">
        <v>80</v>
      </c>
      <c r="B149" s="1" t="s">
        <v>81</v>
      </c>
      <c r="C149" s="1" t="s">
        <v>16</v>
      </c>
      <c r="D149" s="1" t="s">
        <v>56</v>
      </c>
      <c r="E149" s="1">
        <v>0.005</v>
      </c>
      <c r="F149" s="1">
        <v>0.0</v>
      </c>
      <c r="G149" s="1">
        <v>0.005</v>
      </c>
      <c r="H149" s="2" t="str">
        <f>IFERROR(__xludf.DUMMYFUNCTION("SPLIT(A149, ""~;"")"),"487OS")</f>
        <v>487OS</v>
      </c>
    </row>
    <row r="150">
      <c r="A150" s="1">
        <v>493.0</v>
      </c>
      <c r="B150" s="1" t="s">
        <v>82</v>
      </c>
      <c r="C150" s="1" t="s">
        <v>12</v>
      </c>
      <c r="D150" s="1" t="s">
        <v>54</v>
      </c>
      <c r="E150" s="1">
        <v>0.426</v>
      </c>
      <c r="F150" s="1">
        <v>0.0</v>
      </c>
      <c r="G150" s="1">
        <v>0.426</v>
      </c>
      <c r="H150" s="2">
        <f>IFERROR(__xludf.DUMMYFUNCTION("SPLIT(A150, ""~;"")"),493.0)</f>
        <v>493</v>
      </c>
    </row>
    <row r="151">
      <c r="A151" s="1">
        <v>493.0</v>
      </c>
      <c r="B151" s="1" t="s">
        <v>82</v>
      </c>
      <c r="C151" s="1" t="s">
        <v>14</v>
      </c>
      <c r="D151" s="1" t="s">
        <v>54</v>
      </c>
      <c r="E151" s="1">
        <v>0.001</v>
      </c>
      <c r="F151" s="1">
        <v>0.0</v>
      </c>
      <c r="G151" s="1">
        <v>0.001</v>
      </c>
      <c r="H151" s="2">
        <f>IFERROR(__xludf.DUMMYFUNCTION("SPLIT(A151, ""~;"")"),493.0)</f>
        <v>493</v>
      </c>
    </row>
    <row r="152">
      <c r="A152" s="1">
        <v>493.0</v>
      </c>
      <c r="B152" s="1" t="s">
        <v>82</v>
      </c>
      <c r="C152" s="1" t="s">
        <v>15</v>
      </c>
      <c r="D152" s="1" t="s">
        <v>54</v>
      </c>
      <c r="E152" s="1">
        <v>0.0</v>
      </c>
      <c r="F152" s="1">
        <v>0.0</v>
      </c>
      <c r="G152" s="1">
        <v>0.0</v>
      </c>
      <c r="H152" s="2">
        <f>IFERROR(__xludf.DUMMYFUNCTION("SPLIT(A152, ""~;"")"),493.0)</f>
        <v>493</v>
      </c>
    </row>
    <row r="153">
      <c r="A153" s="1">
        <v>493.0</v>
      </c>
      <c r="B153" s="1" t="s">
        <v>82</v>
      </c>
      <c r="C153" s="1" t="s">
        <v>16</v>
      </c>
      <c r="D153" s="1" t="s">
        <v>56</v>
      </c>
      <c r="E153" s="1">
        <v>0.004</v>
      </c>
      <c r="F153" s="1">
        <v>0.0</v>
      </c>
      <c r="G153" s="1">
        <v>0.004</v>
      </c>
      <c r="H153" s="2">
        <f>IFERROR(__xludf.DUMMYFUNCTION("SPLIT(A153, ""~;"")"),493.0)</f>
        <v>493</v>
      </c>
    </row>
    <row r="154">
      <c r="A154" s="1" t="s">
        <v>83</v>
      </c>
      <c r="B154" s="1" t="s">
        <v>84</v>
      </c>
      <c r="C154" s="1" t="s">
        <v>12</v>
      </c>
      <c r="D154" s="1" t="s">
        <v>54</v>
      </c>
      <c r="E154" s="1">
        <v>0.147</v>
      </c>
      <c r="F154" s="1">
        <v>0.0</v>
      </c>
      <c r="G154" s="1">
        <v>0.147</v>
      </c>
      <c r="H154" s="2" t="str">
        <f>IFERROR(__xludf.DUMMYFUNCTION("SPLIT(A154, ""~;"")"),"4A0")</f>
        <v>4A0</v>
      </c>
    </row>
    <row r="155">
      <c r="A155" s="1" t="s">
        <v>83</v>
      </c>
      <c r="B155" s="1" t="s">
        <v>84</v>
      </c>
      <c r="C155" s="1" t="s">
        <v>14</v>
      </c>
      <c r="D155" s="1" t="s">
        <v>54</v>
      </c>
      <c r="E155" s="1">
        <v>0.001</v>
      </c>
      <c r="F155" s="1">
        <v>0.0</v>
      </c>
      <c r="G155" s="1">
        <v>0.001</v>
      </c>
      <c r="H155" s="2" t="str">
        <f>IFERROR(__xludf.DUMMYFUNCTION("SPLIT(A155, ""~;"")"),"4A0")</f>
        <v>4A0</v>
      </c>
    </row>
    <row r="156">
      <c r="A156" s="1" t="s">
        <v>83</v>
      </c>
      <c r="B156" s="1" t="s">
        <v>84</v>
      </c>
      <c r="C156" s="1" t="s">
        <v>15</v>
      </c>
      <c r="D156" s="1" t="s">
        <v>54</v>
      </c>
      <c r="E156" s="1">
        <v>0.0</v>
      </c>
      <c r="F156" s="1">
        <v>0.0</v>
      </c>
      <c r="G156" s="1">
        <v>0.0</v>
      </c>
      <c r="H156" s="2" t="str">
        <f>IFERROR(__xludf.DUMMYFUNCTION("SPLIT(A156, ""~;"")"),"4A0")</f>
        <v>4A0</v>
      </c>
    </row>
    <row r="157">
      <c r="A157" s="1" t="s">
        <v>83</v>
      </c>
      <c r="B157" s="1" t="s">
        <v>84</v>
      </c>
      <c r="C157" s="1" t="s">
        <v>16</v>
      </c>
      <c r="D157" s="1" t="s">
        <v>56</v>
      </c>
      <c r="E157" s="1">
        <v>0.003</v>
      </c>
      <c r="F157" s="1">
        <v>0.0</v>
      </c>
      <c r="G157" s="1">
        <v>0.003</v>
      </c>
      <c r="H157" s="2" t="str">
        <f>IFERROR(__xludf.DUMMYFUNCTION("SPLIT(A157, ""~;"")"),"4A0")</f>
        <v>4A0</v>
      </c>
    </row>
    <row r="158">
      <c r="A158" s="1">
        <v>511.0</v>
      </c>
      <c r="B158" s="1" t="s">
        <v>85</v>
      </c>
      <c r="C158" s="1" t="s">
        <v>12</v>
      </c>
      <c r="D158" s="1" t="s">
        <v>54</v>
      </c>
      <c r="E158" s="1">
        <v>0.043</v>
      </c>
      <c r="F158" s="1">
        <v>0.012</v>
      </c>
      <c r="G158" s="1">
        <v>0.055</v>
      </c>
      <c r="H158" s="2">
        <f>IFERROR(__xludf.DUMMYFUNCTION("SPLIT(A158, ""~;"")"),511.0)</f>
        <v>511</v>
      </c>
    </row>
    <row r="159">
      <c r="A159" s="1">
        <v>511.0</v>
      </c>
      <c r="B159" s="1" t="s">
        <v>85</v>
      </c>
      <c r="C159" s="1" t="s">
        <v>14</v>
      </c>
      <c r="D159" s="1" t="s">
        <v>54</v>
      </c>
      <c r="E159" s="1">
        <v>0.0</v>
      </c>
      <c r="F159" s="1">
        <v>0.0</v>
      </c>
      <c r="G159" s="1">
        <v>0.0</v>
      </c>
      <c r="H159" s="2">
        <f>IFERROR(__xludf.DUMMYFUNCTION("SPLIT(A159, ""~;"")"),511.0)</f>
        <v>511</v>
      </c>
    </row>
    <row r="160">
      <c r="A160" s="1">
        <v>511.0</v>
      </c>
      <c r="B160" s="1" t="s">
        <v>85</v>
      </c>
      <c r="C160" s="1" t="s">
        <v>15</v>
      </c>
      <c r="D160" s="1" t="s">
        <v>54</v>
      </c>
      <c r="E160" s="1">
        <v>0.0</v>
      </c>
      <c r="F160" s="1">
        <v>0.0</v>
      </c>
      <c r="G160" s="1">
        <v>0.0</v>
      </c>
      <c r="H160" s="2">
        <f>IFERROR(__xludf.DUMMYFUNCTION("SPLIT(A160, ""~;"")"),511.0)</f>
        <v>511</v>
      </c>
    </row>
    <row r="161">
      <c r="A161" s="1">
        <v>511.0</v>
      </c>
      <c r="B161" s="1" t="s">
        <v>85</v>
      </c>
      <c r="C161" s="1" t="s">
        <v>16</v>
      </c>
      <c r="D161" s="1" t="s">
        <v>56</v>
      </c>
      <c r="E161" s="1">
        <v>0.002</v>
      </c>
      <c r="F161" s="1">
        <v>0.0</v>
      </c>
      <c r="G161" s="1">
        <v>0.002</v>
      </c>
      <c r="H161" s="2">
        <f>IFERROR(__xludf.DUMMYFUNCTION("SPLIT(A161, ""~;"")"),511.0)</f>
        <v>511</v>
      </c>
    </row>
    <row r="162">
      <c r="A162" s="1">
        <v>512.0</v>
      </c>
      <c r="B162" s="1" t="s">
        <v>86</v>
      </c>
      <c r="C162" s="1" t="s">
        <v>12</v>
      </c>
      <c r="D162" s="1" t="s">
        <v>54</v>
      </c>
      <c r="E162" s="1">
        <v>0.052</v>
      </c>
      <c r="F162" s="1">
        <v>0.002</v>
      </c>
      <c r="G162" s="1">
        <v>0.055</v>
      </c>
      <c r="H162" s="2">
        <f>IFERROR(__xludf.DUMMYFUNCTION("SPLIT(A162, ""~;"")"),512.0)</f>
        <v>512</v>
      </c>
    </row>
    <row r="163">
      <c r="A163" s="1">
        <v>512.0</v>
      </c>
      <c r="B163" s="1" t="s">
        <v>86</v>
      </c>
      <c r="C163" s="1" t="s">
        <v>14</v>
      </c>
      <c r="D163" s="1" t="s">
        <v>54</v>
      </c>
      <c r="E163" s="1">
        <v>0.0</v>
      </c>
      <c r="F163" s="1">
        <v>0.0</v>
      </c>
      <c r="G163" s="1">
        <v>0.0</v>
      </c>
      <c r="H163" s="2">
        <f>IFERROR(__xludf.DUMMYFUNCTION("SPLIT(A163, ""~;"")"),512.0)</f>
        <v>512</v>
      </c>
    </row>
    <row r="164">
      <c r="A164" s="1">
        <v>512.0</v>
      </c>
      <c r="B164" s="1" t="s">
        <v>86</v>
      </c>
      <c r="C164" s="1" t="s">
        <v>15</v>
      </c>
      <c r="D164" s="1" t="s">
        <v>54</v>
      </c>
      <c r="E164" s="1">
        <v>0.0</v>
      </c>
      <c r="F164" s="1">
        <v>0.0</v>
      </c>
      <c r="G164" s="1">
        <v>0.0</v>
      </c>
      <c r="H164" s="2">
        <f>IFERROR(__xludf.DUMMYFUNCTION("SPLIT(A164, ""~;"")"),512.0)</f>
        <v>512</v>
      </c>
    </row>
    <row r="165">
      <c r="A165" s="1">
        <v>512.0</v>
      </c>
      <c r="B165" s="1" t="s">
        <v>86</v>
      </c>
      <c r="C165" s="1" t="s">
        <v>16</v>
      </c>
      <c r="D165" s="1" t="s">
        <v>56</v>
      </c>
      <c r="E165" s="1">
        <v>0.001</v>
      </c>
      <c r="F165" s="1">
        <v>0.0</v>
      </c>
      <c r="G165" s="1">
        <v>0.001</v>
      </c>
      <c r="H165" s="2">
        <f>IFERROR(__xludf.DUMMYFUNCTION("SPLIT(A165, ""~;"")"),512.0)</f>
        <v>512</v>
      </c>
    </row>
    <row r="166">
      <c r="A166" s="1">
        <v>513.0</v>
      </c>
      <c r="B166" s="1" t="s">
        <v>87</v>
      </c>
      <c r="C166" s="1" t="s">
        <v>12</v>
      </c>
      <c r="D166" s="1" t="s">
        <v>54</v>
      </c>
      <c r="E166" s="1">
        <v>0.078</v>
      </c>
      <c r="F166" s="1">
        <v>0.0</v>
      </c>
      <c r="G166" s="1">
        <v>0.078</v>
      </c>
      <c r="H166" s="2">
        <f>IFERROR(__xludf.DUMMYFUNCTION("SPLIT(A166, ""~;"")"),513.0)</f>
        <v>513</v>
      </c>
    </row>
    <row r="167">
      <c r="A167" s="1">
        <v>513.0</v>
      </c>
      <c r="B167" s="1" t="s">
        <v>87</v>
      </c>
      <c r="C167" s="1" t="s">
        <v>14</v>
      </c>
      <c r="D167" s="1" t="s">
        <v>54</v>
      </c>
      <c r="E167" s="1">
        <v>0.0</v>
      </c>
      <c r="F167" s="1">
        <v>0.0</v>
      </c>
      <c r="G167" s="1">
        <v>0.0</v>
      </c>
      <c r="H167" s="2">
        <f>IFERROR(__xludf.DUMMYFUNCTION("SPLIT(A167, ""~;"")"),513.0)</f>
        <v>513</v>
      </c>
    </row>
    <row r="168">
      <c r="A168" s="1">
        <v>513.0</v>
      </c>
      <c r="B168" s="1" t="s">
        <v>87</v>
      </c>
      <c r="C168" s="1" t="s">
        <v>15</v>
      </c>
      <c r="D168" s="1" t="s">
        <v>54</v>
      </c>
      <c r="E168" s="1">
        <v>0.0</v>
      </c>
      <c r="F168" s="1">
        <v>0.0</v>
      </c>
      <c r="G168" s="1">
        <v>0.0</v>
      </c>
      <c r="H168" s="2">
        <f>IFERROR(__xludf.DUMMYFUNCTION("SPLIT(A168, ""~;"")"),513.0)</f>
        <v>513</v>
      </c>
    </row>
    <row r="169">
      <c r="A169" s="1">
        <v>513.0</v>
      </c>
      <c r="B169" s="1" t="s">
        <v>87</v>
      </c>
      <c r="C169" s="1" t="s">
        <v>16</v>
      </c>
      <c r="D169" s="1" t="s">
        <v>56</v>
      </c>
      <c r="E169" s="1">
        <v>0.006</v>
      </c>
      <c r="F169" s="1">
        <v>0.0</v>
      </c>
      <c r="G169" s="1">
        <v>0.006</v>
      </c>
      <c r="H169" s="2">
        <f>IFERROR(__xludf.DUMMYFUNCTION("SPLIT(A169, ""~;"")"),513.0)</f>
        <v>513</v>
      </c>
    </row>
    <row r="170">
      <c r="A170" s="1">
        <v>514.0</v>
      </c>
      <c r="B170" s="1" t="s">
        <v>88</v>
      </c>
      <c r="C170" s="1" t="s">
        <v>12</v>
      </c>
      <c r="D170" s="1" t="s">
        <v>54</v>
      </c>
      <c r="E170" s="1">
        <v>0.081</v>
      </c>
      <c r="F170" s="1">
        <v>0.0</v>
      </c>
      <c r="G170" s="1">
        <v>0.081</v>
      </c>
      <c r="H170" s="2">
        <f>IFERROR(__xludf.DUMMYFUNCTION("SPLIT(A170, ""~;"")"),514.0)</f>
        <v>514</v>
      </c>
    </row>
    <row r="171">
      <c r="A171" s="1">
        <v>514.0</v>
      </c>
      <c r="B171" s="1" t="s">
        <v>88</v>
      </c>
      <c r="C171" s="1" t="s">
        <v>14</v>
      </c>
      <c r="D171" s="1" t="s">
        <v>54</v>
      </c>
      <c r="E171" s="1">
        <v>0.0</v>
      </c>
      <c r="F171" s="1">
        <v>0.0</v>
      </c>
      <c r="G171" s="1">
        <v>0.0</v>
      </c>
      <c r="H171" s="2">
        <f>IFERROR(__xludf.DUMMYFUNCTION("SPLIT(A171, ""~;"")"),514.0)</f>
        <v>514</v>
      </c>
    </row>
    <row r="172">
      <c r="A172" s="1">
        <v>514.0</v>
      </c>
      <c r="B172" s="1" t="s">
        <v>88</v>
      </c>
      <c r="C172" s="1" t="s">
        <v>15</v>
      </c>
      <c r="D172" s="1" t="s">
        <v>54</v>
      </c>
      <c r="E172" s="1">
        <v>0.0</v>
      </c>
      <c r="F172" s="1">
        <v>0.0</v>
      </c>
      <c r="G172" s="1">
        <v>0.0</v>
      </c>
      <c r="H172" s="2">
        <f>IFERROR(__xludf.DUMMYFUNCTION("SPLIT(A172, ""~;"")"),514.0)</f>
        <v>514</v>
      </c>
    </row>
    <row r="173">
      <c r="A173" s="1">
        <v>514.0</v>
      </c>
      <c r="B173" s="1" t="s">
        <v>88</v>
      </c>
      <c r="C173" s="1" t="s">
        <v>16</v>
      </c>
      <c r="D173" s="1" t="s">
        <v>56</v>
      </c>
      <c r="E173" s="1">
        <v>0.004</v>
      </c>
      <c r="F173" s="1">
        <v>0.0</v>
      </c>
      <c r="G173" s="1">
        <v>0.004</v>
      </c>
      <c r="H173" s="2">
        <f>IFERROR(__xludf.DUMMYFUNCTION("SPLIT(A173, ""~;"")"),514.0)</f>
        <v>514</v>
      </c>
    </row>
    <row r="174">
      <c r="A174" s="1" t="s">
        <v>89</v>
      </c>
      <c r="B174" s="1" t="s">
        <v>90</v>
      </c>
      <c r="C174" s="1" t="s">
        <v>12</v>
      </c>
      <c r="D174" s="1" t="s">
        <v>54</v>
      </c>
      <c r="E174" s="1">
        <v>0.069</v>
      </c>
      <c r="F174" s="1">
        <v>0.0</v>
      </c>
      <c r="G174" s="1">
        <v>0.069</v>
      </c>
      <c r="H174" s="2" t="str">
        <f>IFERROR(__xludf.DUMMYFUNCTION("SPLIT(A174, ""~;"")"),"521CI")</f>
        <v>521CI</v>
      </c>
    </row>
    <row r="175">
      <c r="A175" s="1" t="s">
        <v>89</v>
      </c>
      <c r="B175" s="1" t="s">
        <v>90</v>
      </c>
      <c r="C175" s="1" t="s">
        <v>14</v>
      </c>
      <c r="D175" s="1" t="s">
        <v>54</v>
      </c>
      <c r="E175" s="1">
        <v>0.0</v>
      </c>
      <c r="F175" s="1">
        <v>0.0</v>
      </c>
      <c r="G175" s="1">
        <v>0.0</v>
      </c>
      <c r="H175" s="2" t="str">
        <f>IFERROR(__xludf.DUMMYFUNCTION("SPLIT(A175, ""~;"")"),"521CI")</f>
        <v>521CI</v>
      </c>
    </row>
    <row r="176">
      <c r="A176" s="1" t="s">
        <v>89</v>
      </c>
      <c r="B176" s="1" t="s">
        <v>90</v>
      </c>
      <c r="C176" s="1" t="s">
        <v>15</v>
      </c>
      <c r="D176" s="1" t="s">
        <v>54</v>
      </c>
      <c r="E176" s="1">
        <v>0.0</v>
      </c>
      <c r="F176" s="1">
        <v>0.0</v>
      </c>
      <c r="G176" s="1">
        <v>0.0</v>
      </c>
      <c r="H176" s="2" t="str">
        <f>IFERROR(__xludf.DUMMYFUNCTION("SPLIT(A176, ""~;"")"),"521CI")</f>
        <v>521CI</v>
      </c>
    </row>
    <row r="177">
      <c r="A177" s="1" t="s">
        <v>89</v>
      </c>
      <c r="B177" s="1" t="s">
        <v>90</v>
      </c>
      <c r="C177" s="1" t="s">
        <v>16</v>
      </c>
      <c r="D177" s="1" t="s">
        <v>56</v>
      </c>
      <c r="E177" s="1">
        <v>0.001</v>
      </c>
      <c r="F177" s="1">
        <v>0.0</v>
      </c>
      <c r="G177" s="1">
        <v>0.001</v>
      </c>
      <c r="H177" s="2" t="str">
        <f>IFERROR(__xludf.DUMMYFUNCTION("SPLIT(A177, ""~;"")"),"521CI")</f>
        <v>521CI</v>
      </c>
    </row>
    <row r="178">
      <c r="A178" s="1">
        <v>523.0</v>
      </c>
      <c r="B178" s="1" t="s">
        <v>91</v>
      </c>
      <c r="C178" s="1" t="s">
        <v>12</v>
      </c>
      <c r="D178" s="1" t="s">
        <v>54</v>
      </c>
      <c r="E178" s="1">
        <v>0.101</v>
      </c>
      <c r="F178" s="1">
        <v>0.0</v>
      </c>
      <c r="G178" s="1">
        <v>0.101</v>
      </c>
      <c r="H178" s="2">
        <f>IFERROR(__xludf.DUMMYFUNCTION("SPLIT(A178, ""~;"")"),523.0)</f>
        <v>523</v>
      </c>
    </row>
    <row r="179">
      <c r="A179" s="1">
        <v>523.0</v>
      </c>
      <c r="B179" s="1" t="s">
        <v>91</v>
      </c>
      <c r="C179" s="1" t="s">
        <v>14</v>
      </c>
      <c r="D179" s="1" t="s">
        <v>54</v>
      </c>
      <c r="E179" s="1">
        <v>0.0</v>
      </c>
      <c r="F179" s="1">
        <v>0.0</v>
      </c>
      <c r="G179" s="1">
        <v>0.0</v>
      </c>
      <c r="H179" s="2">
        <f>IFERROR(__xludf.DUMMYFUNCTION("SPLIT(A179, ""~;"")"),523.0)</f>
        <v>523</v>
      </c>
    </row>
    <row r="180">
      <c r="A180" s="1">
        <v>523.0</v>
      </c>
      <c r="B180" s="1" t="s">
        <v>91</v>
      </c>
      <c r="C180" s="1" t="s">
        <v>15</v>
      </c>
      <c r="D180" s="1" t="s">
        <v>54</v>
      </c>
      <c r="E180" s="1">
        <v>0.0</v>
      </c>
      <c r="F180" s="1">
        <v>0.0</v>
      </c>
      <c r="G180" s="1">
        <v>0.0</v>
      </c>
      <c r="H180" s="2">
        <f>IFERROR(__xludf.DUMMYFUNCTION("SPLIT(A180, ""~;"")"),523.0)</f>
        <v>523</v>
      </c>
    </row>
    <row r="181">
      <c r="A181" s="1">
        <v>523.0</v>
      </c>
      <c r="B181" s="1" t="s">
        <v>91</v>
      </c>
      <c r="C181" s="1" t="s">
        <v>16</v>
      </c>
      <c r="D181" s="1" t="s">
        <v>56</v>
      </c>
      <c r="E181" s="1">
        <v>0.002</v>
      </c>
      <c r="F181" s="1">
        <v>0.0</v>
      </c>
      <c r="G181" s="1">
        <v>0.002</v>
      </c>
      <c r="H181" s="2">
        <f>IFERROR(__xludf.DUMMYFUNCTION("SPLIT(A181, ""~;"")"),523.0)</f>
        <v>523</v>
      </c>
    </row>
    <row r="182">
      <c r="A182" s="1">
        <v>524.0</v>
      </c>
      <c r="B182" s="1" t="s">
        <v>92</v>
      </c>
      <c r="C182" s="1" t="s">
        <v>12</v>
      </c>
      <c r="D182" s="1" t="s">
        <v>54</v>
      </c>
      <c r="E182" s="1">
        <v>0.042</v>
      </c>
      <c r="F182" s="1">
        <v>0.0</v>
      </c>
      <c r="G182" s="1">
        <v>0.042</v>
      </c>
      <c r="H182" s="2">
        <f>IFERROR(__xludf.DUMMYFUNCTION("SPLIT(A182, ""~;"")"),524.0)</f>
        <v>524</v>
      </c>
    </row>
    <row r="183">
      <c r="A183" s="1">
        <v>524.0</v>
      </c>
      <c r="B183" s="1" t="s">
        <v>92</v>
      </c>
      <c r="C183" s="1" t="s">
        <v>14</v>
      </c>
      <c r="D183" s="1" t="s">
        <v>54</v>
      </c>
      <c r="E183" s="1">
        <v>0.0</v>
      </c>
      <c r="F183" s="1">
        <v>0.0</v>
      </c>
      <c r="G183" s="1">
        <v>0.0</v>
      </c>
      <c r="H183" s="2">
        <f>IFERROR(__xludf.DUMMYFUNCTION("SPLIT(A183, ""~;"")"),524.0)</f>
        <v>524</v>
      </c>
    </row>
    <row r="184">
      <c r="A184" s="1">
        <v>524.0</v>
      </c>
      <c r="B184" s="1" t="s">
        <v>92</v>
      </c>
      <c r="C184" s="1" t="s">
        <v>15</v>
      </c>
      <c r="D184" s="1" t="s">
        <v>54</v>
      </c>
      <c r="E184" s="1">
        <v>0.0</v>
      </c>
      <c r="F184" s="1">
        <v>0.0</v>
      </c>
      <c r="G184" s="1">
        <v>0.0</v>
      </c>
      <c r="H184" s="2">
        <f>IFERROR(__xludf.DUMMYFUNCTION("SPLIT(A184, ""~;"")"),524.0)</f>
        <v>524</v>
      </c>
    </row>
    <row r="185">
      <c r="A185" s="1">
        <v>524.0</v>
      </c>
      <c r="B185" s="1" t="s">
        <v>92</v>
      </c>
      <c r="C185" s="1" t="s">
        <v>16</v>
      </c>
      <c r="D185" s="1" t="s">
        <v>56</v>
      </c>
      <c r="E185" s="1">
        <v>0.001</v>
      </c>
      <c r="F185" s="1">
        <v>0.0</v>
      </c>
      <c r="G185" s="1">
        <v>0.001</v>
      </c>
      <c r="H185" s="2">
        <f>IFERROR(__xludf.DUMMYFUNCTION("SPLIT(A185, ""~;"")"),524.0)</f>
        <v>524</v>
      </c>
    </row>
    <row r="186">
      <c r="A186" s="1">
        <v>525.0</v>
      </c>
      <c r="B186" s="1" t="s">
        <v>93</v>
      </c>
      <c r="C186" s="1" t="s">
        <v>12</v>
      </c>
      <c r="D186" s="1" t="s">
        <v>54</v>
      </c>
      <c r="E186" s="1">
        <v>0.182</v>
      </c>
      <c r="F186" s="1">
        <v>0.0</v>
      </c>
      <c r="G186" s="1">
        <v>0.182</v>
      </c>
      <c r="H186" s="2">
        <f>IFERROR(__xludf.DUMMYFUNCTION("SPLIT(A186, ""~;"")"),525.0)</f>
        <v>525</v>
      </c>
    </row>
    <row r="187">
      <c r="A187" s="1">
        <v>525.0</v>
      </c>
      <c r="B187" s="1" t="s">
        <v>93</v>
      </c>
      <c r="C187" s="1" t="s">
        <v>14</v>
      </c>
      <c r="D187" s="1" t="s">
        <v>54</v>
      </c>
      <c r="E187" s="1">
        <v>0.001</v>
      </c>
      <c r="F187" s="1">
        <v>0.0</v>
      </c>
      <c r="G187" s="1">
        <v>0.001</v>
      </c>
      <c r="H187" s="2">
        <f>IFERROR(__xludf.DUMMYFUNCTION("SPLIT(A187, ""~;"")"),525.0)</f>
        <v>525</v>
      </c>
    </row>
    <row r="188">
      <c r="A188" s="1">
        <v>525.0</v>
      </c>
      <c r="B188" s="1" t="s">
        <v>93</v>
      </c>
      <c r="C188" s="1" t="s">
        <v>15</v>
      </c>
      <c r="D188" s="1" t="s">
        <v>54</v>
      </c>
      <c r="E188" s="1">
        <v>0.0</v>
      </c>
      <c r="F188" s="1">
        <v>0.0</v>
      </c>
      <c r="G188" s="1">
        <v>0.0</v>
      </c>
      <c r="H188" s="2">
        <f>IFERROR(__xludf.DUMMYFUNCTION("SPLIT(A188, ""~;"")"),525.0)</f>
        <v>525</v>
      </c>
    </row>
    <row r="189">
      <c r="A189" s="1">
        <v>525.0</v>
      </c>
      <c r="B189" s="1" t="s">
        <v>93</v>
      </c>
      <c r="C189" s="1" t="s">
        <v>16</v>
      </c>
      <c r="D189" s="1" t="s">
        <v>56</v>
      </c>
      <c r="E189" s="1">
        <v>0.002</v>
      </c>
      <c r="F189" s="1">
        <v>0.0</v>
      </c>
      <c r="G189" s="1">
        <v>0.002</v>
      </c>
      <c r="H189" s="2">
        <f>IFERROR(__xludf.DUMMYFUNCTION("SPLIT(A189, ""~;"")"),525.0)</f>
        <v>525</v>
      </c>
    </row>
    <row r="190">
      <c r="A190" s="1" t="s">
        <v>94</v>
      </c>
      <c r="B190" s="1" t="s">
        <v>95</v>
      </c>
      <c r="C190" s="1" t="s">
        <v>12</v>
      </c>
      <c r="D190" s="1" t="s">
        <v>54</v>
      </c>
      <c r="E190" s="1">
        <v>0.09</v>
      </c>
      <c r="F190" s="1">
        <v>0.0</v>
      </c>
      <c r="G190" s="1">
        <v>0.09</v>
      </c>
      <c r="H190" s="2" t="str">
        <f>IFERROR(__xludf.DUMMYFUNCTION("SPLIT(A190, ""~;"")"),"532RL")</f>
        <v>532RL</v>
      </c>
    </row>
    <row r="191">
      <c r="A191" s="1" t="s">
        <v>94</v>
      </c>
      <c r="B191" s="1" t="s">
        <v>95</v>
      </c>
      <c r="C191" s="1" t="s">
        <v>14</v>
      </c>
      <c r="D191" s="1" t="s">
        <v>54</v>
      </c>
      <c r="E191" s="1">
        <v>0.0</v>
      </c>
      <c r="F191" s="1">
        <v>0.0</v>
      </c>
      <c r="G191" s="1">
        <v>0.0</v>
      </c>
      <c r="H191" s="2" t="str">
        <f>IFERROR(__xludf.DUMMYFUNCTION("SPLIT(A191, ""~;"")"),"532RL")</f>
        <v>532RL</v>
      </c>
    </row>
    <row r="192">
      <c r="A192" s="1" t="s">
        <v>94</v>
      </c>
      <c r="B192" s="1" t="s">
        <v>95</v>
      </c>
      <c r="C192" s="1" t="s">
        <v>15</v>
      </c>
      <c r="D192" s="1" t="s">
        <v>54</v>
      </c>
      <c r="E192" s="1">
        <v>0.0</v>
      </c>
      <c r="F192" s="1">
        <v>0.0</v>
      </c>
      <c r="G192" s="1">
        <v>0.0</v>
      </c>
      <c r="H192" s="2" t="str">
        <f>IFERROR(__xludf.DUMMYFUNCTION("SPLIT(A192, ""~;"")"),"532RL")</f>
        <v>532RL</v>
      </c>
    </row>
    <row r="193">
      <c r="A193" s="1" t="s">
        <v>94</v>
      </c>
      <c r="B193" s="1" t="s">
        <v>95</v>
      </c>
      <c r="C193" s="1" t="s">
        <v>16</v>
      </c>
      <c r="D193" s="1" t="s">
        <v>56</v>
      </c>
      <c r="E193" s="1">
        <v>0.003</v>
      </c>
      <c r="F193" s="1">
        <v>0.0</v>
      </c>
      <c r="G193" s="1">
        <v>0.003</v>
      </c>
      <c r="H193" s="2" t="str">
        <f>IFERROR(__xludf.DUMMYFUNCTION("SPLIT(A193, ""~;"")"),"532RL")</f>
        <v>532RL</v>
      </c>
    </row>
    <row r="194">
      <c r="A194" s="1">
        <v>5411.0</v>
      </c>
      <c r="B194" s="1" t="s">
        <v>96</v>
      </c>
      <c r="C194" s="1" t="s">
        <v>12</v>
      </c>
      <c r="D194" s="1" t="s">
        <v>54</v>
      </c>
      <c r="E194" s="1">
        <v>0.058</v>
      </c>
      <c r="F194" s="1">
        <v>0.0</v>
      </c>
      <c r="G194" s="1">
        <v>0.058</v>
      </c>
      <c r="H194" s="2">
        <f>IFERROR(__xludf.DUMMYFUNCTION("SPLIT(A194, ""~;"")"),5411.0)</f>
        <v>5411</v>
      </c>
    </row>
    <row r="195">
      <c r="A195" s="1">
        <v>5411.0</v>
      </c>
      <c r="B195" s="1" t="s">
        <v>96</v>
      </c>
      <c r="C195" s="1" t="s">
        <v>14</v>
      </c>
      <c r="D195" s="1" t="s">
        <v>54</v>
      </c>
      <c r="E195" s="1">
        <v>0.0</v>
      </c>
      <c r="F195" s="1">
        <v>0.0</v>
      </c>
      <c r="G195" s="1">
        <v>0.0</v>
      </c>
      <c r="H195" s="2">
        <f>IFERROR(__xludf.DUMMYFUNCTION("SPLIT(A195, ""~;"")"),5411.0)</f>
        <v>5411</v>
      </c>
    </row>
    <row r="196">
      <c r="A196" s="1">
        <v>5411.0</v>
      </c>
      <c r="B196" s="1" t="s">
        <v>96</v>
      </c>
      <c r="C196" s="1" t="s">
        <v>15</v>
      </c>
      <c r="D196" s="1" t="s">
        <v>54</v>
      </c>
      <c r="E196" s="1">
        <v>0.0</v>
      </c>
      <c r="F196" s="1">
        <v>0.0</v>
      </c>
      <c r="G196" s="1">
        <v>0.0</v>
      </c>
      <c r="H196" s="2">
        <f>IFERROR(__xludf.DUMMYFUNCTION("SPLIT(A196, ""~;"")"),5411.0)</f>
        <v>5411</v>
      </c>
    </row>
    <row r="197">
      <c r="A197" s="1">
        <v>5411.0</v>
      </c>
      <c r="B197" s="1" t="s">
        <v>96</v>
      </c>
      <c r="C197" s="1" t="s">
        <v>16</v>
      </c>
      <c r="D197" s="1" t="s">
        <v>56</v>
      </c>
      <c r="E197" s="1">
        <v>0.001</v>
      </c>
      <c r="F197" s="1">
        <v>0.0</v>
      </c>
      <c r="G197" s="1">
        <v>0.001</v>
      </c>
      <c r="H197" s="2">
        <f>IFERROR(__xludf.DUMMYFUNCTION("SPLIT(A197, ""~;"")"),5411.0)</f>
        <v>5411</v>
      </c>
    </row>
    <row r="198">
      <c r="A198" s="1" t="s">
        <v>97</v>
      </c>
      <c r="B198" s="1" t="s">
        <v>98</v>
      </c>
      <c r="C198" s="1" t="s">
        <v>12</v>
      </c>
      <c r="D198" s="1" t="s">
        <v>54</v>
      </c>
      <c r="E198" s="1">
        <v>0.109</v>
      </c>
      <c r="F198" s="1">
        <v>0.0</v>
      </c>
      <c r="G198" s="1">
        <v>0.109</v>
      </c>
      <c r="H198" s="2" t="str">
        <f>IFERROR(__xludf.DUMMYFUNCTION("SPLIT(A198, ""~;"")"),"5412OP")</f>
        <v>5412OP</v>
      </c>
    </row>
    <row r="199">
      <c r="A199" s="1" t="s">
        <v>97</v>
      </c>
      <c r="B199" s="1" t="s">
        <v>98</v>
      </c>
      <c r="C199" s="1" t="s">
        <v>14</v>
      </c>
      <c r="D199" s="1" t="s">
        <v>54</v>
      </c>
      <c r="E199" s="1">
        <v>0.001</v>
      </c>
      <c r="F199" s="1">
        <v>0.0</v>
      </c>
      <c r="G199" s="1">
        <v>0.001</v>
      </c>
      <c r="H199" s="2" t="str">
        <f>IFERROR(__xludf.DUMMYFUNCTION("SPLIT(A199, ""~;"")"),"5412OP")</f>
        <v>5412OP</v>
      </c>
    </row>
    <row r="200">
      <c r="A200" s="1" t="s">
        <v>97</v>
      </c>
      <c r="B200" s="1" t="s">
        <v>98</v>
      </c>
      <c r="C200" s="1" t="s">
        <v>15</v>
      </c>
      <c r="D200" s="1" t="s">
        <v>54</v>
      </c>
      <c r="E200" s="1">
        <v>0.0</v>
      </c>
      <c r="F200" s="1">
        <v>0.0</v>
      </c>
      <c r="G200" s="1">
        <v>0.0</v>
      </c>
      <c r="H200" s="2" t="str">
        <f>IFERROR(__xludf.DUMMYFUNCTION("SPLIT(A200, ""~;"")"),"5412OP")</f>
        <v>5412OP</v>
      </c>
    </row>
    <row r="201">
      <c r="A201" s="1" t="s">
        <v>97</v>
      </c>
      <c r="B201" s="1" t="s">
        <v>98</v>
      </c>
      <c r="C201" s="1" t="s">
        <v>16</v>
      </c>
      <c r="D201" s="1" t="s">
        <v>56</v>
      </c>
      <c r="E201" s="1">
        <v>0.004</v>
      </c>
      <c r="F201" s="1">
        <v>0.0</v>
      </c>
      <c r="G201" s="1">
        <v>0.004</v>
      </c>
      <c r="H201" s="2" t="str">
        <f>IFERROR(__xludf.DUMMYFUNCTION("SPLIT(A201, ""~;"")"),"5412OP")</f>
        <v>5412OP</v>
      </c>
    </row>
    <row r="202">
      <c r="A202" s="1">
        <v>5415.0</v>
      </c>
      <c r="B202" s="1" t="s">
        <v>99</v>
      </c>
      <c r="C202" s="1" t="s">
        <v>12</v>
      </c>
      <c r="D202" s="1" t="s">
        <v>54</v>
      </c>
      <c r="E202" s="1">
        <v>0.06</v>
      </c>
      <c r="F202" s="1">
        <v>0.0</v>
      </c>
      <c r="G202" s="1">
        <v>0.06</v>
      </c>
      <c r="H202" s="2">
        <f>IFERROR(__xludf.DUMMYFUNCTION("SPLIT(A202, ""~;"")"),5415.0)</f>
        <v>5415</v>
      </c>
    </row>
    <row r="203">
      <c r="A203" s="1">
        <v>5415.0</v>
      </c>
      <c r="B203" s="1" t="s">
        <v>99</v>
      </c>
      <c r="C203" s="1" t="s">
        <v>14</v>
      </c>
      <c r="D203" s="1" t="s">
        <v>54</v>
      </c>
      <c r="E203" s="1">
        <v>0.0</v>
      </c>
      <c r="F203" s="1">
        <v>0.0</v>
      </c>
      <c r="G203" s="1">
        <v>0.0</v>
      </c>
      <c r="H203" s="2">
        <f>IFERROR(__xludf.DUMMYFUNCTION("SPLIT(A203, ""~;"")"),5415.0)</f>
        <v>5415</v>
      </c>
    </row>
    <row r="204">
      <c r="A204" s="1">
        <v>5415.0</v>
      </c>
      <c r="B204" s="1" t="s">
        <v>99</v>
      </c>
      <c r="C204" s="1" t="s">
        <v>15</v>
      </c>
      <c r="D204" s="1" t="s">
        <v>54</v>
      </c>
      <c r="E204" s="1">
        <v>0.0</v>
      </c>
      <c r="F204" s="1">
        <v>0.0</v>
      </c>
      <c r="G204" s="1">
        <v>0.0</v>
      </c>
      <c r="H204" s="2">
        <f>IFERROR(__xludf.DUMMYFUNCTION("SPLIT(A204, ""~;"")"),5415.0)</f>
        <v>5415</v>
      </c>
    </row>
    <row r="205">
      <c r="A205" s="1">
        <v>5415.0</v>
      </c>
      <c r="B205" s="1" t="s">
        <v>99</v>
      </c>
      <c r="C205" s="1" t="s">
        <v>16</v>
      </c>
      <c r="D205" s="1" t="s">
        <v>56</v>
      </c>
      <c r="E205" s="1">
        <v>0.004</v>
      </c>
      <c r="F205" s="1">
        <v>0.0</v>
      </c>
      <c r="G205" s="1">
        <v>0.004</v>
      </c>
      <c r="H205" s="2">
        <f>IFERROR(__xludf.DUMMYFUNCTION("SPLIT(A205, ""~;"")"),5415.0)</f>
        <v>5415</v>
      </c>
    </row>
    <row r="206">
      <c r="A206" s="1">
        <v>55.0</v>
      </c>
      <c r="B206" s="1" t="s">
        <v>100</v>
      </c>
      <c r="C206" s="1" t="s">
        <v>12</v>
      </c>
      <c r="D206" s="1" t="s">
        <v>54</v>
      </c>
      <c r="E206" s="1">
        <v>0.102</v>
      </c>
      <c r="F206" s="1">
        <v>0.0</v>
      </c>
      <c r="G206" s="1">
        <v>0.102</v>
      </c>
      <c r="H206" s="2">
        <f>IFERROR(__xludf.DUMMYFUNCTION("SPLIT(A206, ""~;"")"),55.0)</f>
        <v>55</v>
      </c>
    </row>
    <row r="207">
      <c r="A207" s="1">
        <v>55.0</v>
      </c>
      <c r="B207" s="1" t="s">
        <v>100</v>
      </c>
      <c r="C207" s="1" t="s">
        <v>14</v>
      </c>
      <c r="D207" s="1" t="s">
        <v>54</v>
      </c>
      <c r="E207" s="1">
        <v>0.0</v>
      </c>
      <c r="F207" s="1">
        <v>0.0</v>
      </c>
      <c r="G207" s="1">
        <v>0.0</v>
      </c>
      <c r="H207" s="2">
        <f>IFERROR(__xludf.DUMMYFUNCTION("SPLIT(A207, ""~;"")"),55.0)</f>
        <v>55</v>
      </c>
    </row>
    <row r="208">
      <c r="A208" s="1">
        <v>55.0</v>
      </c>
      <c r="B208" s="1" t="s">
        <v>100</v>
      </c>
      <c r="C208" s="1" t="s">
        <v>15</v>
      </c>
      <c r="D208" s="1" t="s">
        <v>54</v>
      </c>
      <c r="E208" s="1">
        <v>0.0</v>
      </c>
      <c r="F208" s="1">
        <v>0.0</v>
      </c>
      <c r="G208" s="1">
        <v>0.0</v>
      </c>
      <c r="H208" s="2">
        <f>IFERROR(__xludf.DUMMYFUNCTION("SPLIT(A208, ""~;"")"),55.0)</f>
        <v>55</v>
      </c>
    </row>
    <row r="209">
      <c r="A209" s="1">
        <v>55.0</v>
      </c>
      <c r="B209" s="1" t="s">
        <v>100</v>
      </c>
      <c r="C209" s="1" t="s">
        <v>16</v>
      </c>
      <c r="D209" s="1" t="s">
        <v>56</v>
      </c>
      <c r="E209" s="1">
        <v>0.002</v>
      </c>
      <c r="F209" s="1">
        <v>0.0</v>
      </c>
      <c r="G209" s="1">
        <v>0.002</v>
      </c>
      <c r="H209" s="2">
        <f>IFERROR(__xludf.DUMMYFUNCTION("SPLIT(A209, ""~;"")"),55.0)</f>
        <v>55</v>
      </c>
    </row>
    <row r="210">
      <c r="A210" s="1">
        <v>561.0</v>
      </c>
      <c r="B210" s="1" t="s">
        <v>101</v>
      </c>
      <c r="C210" s="1" t="s">
        <v>12</v>
      </c>
      <c r="D210" s="1" t="s">
        <v>54</v>
      </c>
      <c r="E210" s="1">
        <v>0.088</v>
      </c>
      <c r="F210" s="1">
        <v>0.0</v>
      </c>
      <c r="G210" s="1">
        <v>0.088</v>
      </c>
      <c r="H210" s="2">
        <f>IFERROR(__xludf.DUMMYFUNCTION("SPLIT(A210, ""~;"")"),561.0)</f>
        <v>561</v>
      </c>
    </row>
    <row r="211">
      <c r="A211" s="1">
        <v>561.0</v>
      </c>
      <c r="B211" s="1" t="s">
        <v>101</v>
      </c>
      <c r="C211" s="1" t="s">
        <v>14</v>
      </c>
      <c r="D211" s="1" t="s">
        <v>54</v>
      </c>
      <c r="E211" s="1">
        <v>0.001</v>
      </c>
      <c r="F211" s="1">
        <v>0.0</v>
      </c>
      <c r="G211" s="1">
        <v>0.001</v>
      </c>
      <c r="H211" s="2">
        <f>IFERROR(__xludf.DUMMYFUNCTION("SPLIT(A211, ""~;"")"),561.0)</f>
        <v>561</v>
      </c>
    </row>
    <row r="212">
      <c r="A212" s="1">
        <v>561.0</v>
      </c>
      <c r="B212" s="1" t="s">
        <v>101</v>
      </c>
      <c r="C212" s="1" t="s">
        <v>15</v>
      </c>
      <c r="D212" s="1" t="s">
        <v>54</v>
      </c>
      <c r="E212" s="1">
        <v>0.0</v>
      </c>
      <c r="F212" s="1">
        <v>0.0</v>
      </c>
      <c r="G212" s="1">
        <v>0.0</v>
      </c>
      <c r="H212" s="2">
        <f>IFERROR(__xludf.DUMMYFUNCTION("SPLIT(A212, ""~;"")"),561.0)</f>
        <v>561</v>
      </c>
    </row>
    <row r="213">
      <c r="A213" s="1">
        <v>561.0</v>
      </c>
      <c r="B213" s="1" t="s">
        <v>101</v>
      </c>
      <c r="C213" s="1" t="s">
        <v>16</v>
      </c>
      <c r="D213" s="1" t="s">
        <v>56</v>
      </c>
      <c r="E213" s="1">
        <v>0.004</v>
      </c>
      <c r="F213" s="1">
        <v>0.0</v>
      </c>
      <c r="G213" s="1">
        <v>0.004</v>
      </c>
      <c r="H213" s="2">
        <f>IFERROR(__xludf.DUMMYFUNCTION("SPLIT(A213, ""~;"")"),561.0)</f>
        <v>561</v>
      </c>
    </row>
    <row r="214">
      <c r="A214" s="1">
        <v>562.0</v>
      </c>
      <c r="B214" s="1" t="s">
        <v>102</v>
      </c>
      <c r="C214" s="1" t="s">
        <v>12</v>
      </c>
      <c r="D214" s="1" t="s">
        <v>54</v>
      </c>
      <c r="E214" s="1">
        <v>0.274</v>
      </c>
      <c r="F214" s="1">
        <v>0.0</v>
      </c>
      <c r="G214" s="1">
        <v>0.274</v>
      </c>
      <c r="H214" s="2">
        <f>IFERROR(__xludf.DUMMYFUNCTION("SPLIT(A214, ""~;"")"),562.0)</f>
        <v>562</v>
      </c>
    </row>
    <row r="215">
      <c r="A215" s="1">
        <v>562.0</v>
      </c>
      <c r="B215" s="1" t="s">
        <v>102</v>
      </c>
      <c r="C215" s="1" t="s">
        <v>14</v>
      </c>
      <c r="D215" s="1" t="s">
        <v>54</v>
      </c>
      <c r="E215" s="1">
        <v>0.044</v>
      </c>
      <c r="F215" s="1">
        <v>0.0</v>
      </c>
      <c r="G215" s="1">
        <v>0.044</v>
      </c>
      <c r="H215" s="2">
        <f>IFERROR(__xludf.DUMMYFUNCTION("SPLIT(A215, ""~;"")"),562.0)</f>
        <v>562</v>
      </c>
    </row>
    <row r="216">
      <c r="A216" s="1">
        <v>562.0</v>
      </c>
      <c r="B216" s="1" t="s">
        <v>102</v>
      </c>
      <c r="C216" s="1" t="s">
        <v>15</v>
      </c>
      <c r="D216" s="1" t="s">
        <v>54</v>
      </c>
      <c r="E216" s="1">
        <v>0.0</v>
      </c>
      <c r="F216" s="1">
        <v>0.0</v>
      </c>
      <c r="G216" s="1">
        <v>0.0</v>
      </c>
      <c r="H216" s="2">
        <f>IFERROR(__xludf.DUMMYFUNCTION("SPLIT(A216, ""~;"")"),562.0)</f>
        <v>562</v>
      </c>
    </row>
    <row r="217">
      <c r="A217" s="1">
        <v>562.0</v>
      </c>
      <c r="B217" s="1" t="s">
        <v>102</v>
      </c>
      <c r="C217" s="1" t="s">
        <v>16</v>
      </c>
      <c r="D217" s="1" t="s">
        <v>56</v>
      </c>
      <c r="E217" s="1">
        <v>0.013</v>
      </c>
      <c r="F217" s="1">
        <v>0.0</v>
      </c>
      <c r="G217" s="1">
        <v>0.013</v>
      </c>
      <c r="H217" s="2">
        <f>IFERROR(__xludf.DUMMYFUNCTION("SPLIT(A217, ""~;"")"),562.0)</f>
        <v>562</v>
      </c>
    </row>
    <row r="218">
      <c r="A218" s="1">
        <v>61.0</v>
      </c>
      <c r="B218" s="1" t="s">
        <v>103</v>
      </c>
      <c r="C218" s="1" t="s">
        <v>12</v>
      </c>
      <c r="D218" s="1" t="s">
        <v>54</v>
      </c>
      <c r="E218" s="1">
        <v>0.176</v>
      </c>
      <c r="F218" s="1">
        <v>0.0</v>
      </c>
      <c r="G218" s="1">
        <v>0.176</v>
      </c>
      <c r="H218" s="2">
        <f>IFERROR(__xludf.DUMMYFUNCTION("SPLIT(A218, ""~;"")"),61.0)</f>
        <v>61</v>
      </c>
    </row>
    <row r="219">
      <c r="A219" s="1">
        <v>61.0</v>
      </c>
      <c r="B219" s="1" t="s">
        <v>103</v>
      </c>
      <c r="C219" s="1" t="s">
        <v>14</v>
      </c>
      <c r="D219" s="1" t="s">
        <v>54</v>
      </c>
      <c r="E219" s="1">
        <v>0.001</v>
      </c>
      <c r="F219" s="1">
        <v>0.0</v>
      </c>
      <c r="G219" s="1">
        <v>0.001</v>
      </c>
      <c r="H219" s="2">
        <f>IFERROR(__xludf.DUMMYFUNCTION("SPLIT(A219, ""~;"")"),61.0)</f>
        <v>61</v>
      </c>
    </row>
    <row r="220">
      <c r="A220" s="1">
        <v>61.0</v>
      </c>
      <c r="B220" s="1" t="s">
        <v>103</v>
      </c>
      <c r="C220" s="1" t="s">
        <v>15</v>
      </c>
      <c r="D220" s="1" t="s">
        <v>54</v>
      </c>
      <c r="E220" s="1">
        <v>0.0</v>
      </c>
      <c r="F220" s="1">
        <v>0.0</v>
      </c>
      <c r="G220" s="1">
        <v>0.0</v>
      </c>
      <c r="H220" s="2">
        <f>IFERROR(__xludf.DUMMYFUNCTION("SPLIT(A220, ""~;"")"),61.0)</f>
        <v>61</v>
      </c>
    </row>
    <row r="221">
      <c r="A221" s="1">
        <v>61.0</v>
      </c>
      <c r="B221" s="1" t="s">
        <v>103</v>
      </c>
      <c r="C221" s="1" t="s">
        <v>16</v>
      </c>
      <c r="D221" s="1" t="s">
        <v>56</v>
      </c>
      <c r="E221" s="1">
        <v>0.003</v>
      </c>
      <c r="F221" s="1">
        <v>0.0</v>
      </c>
      <c r="G221" s="1">
        <v>0.003</v>
      </c>
      <c r="H221" s="2">
        <f>IFERROR(__xludf.DUMMYFUNCTION("SPLIT(A221, ""~;"")"),61.0)</f>
        <v>61</v>
      </c>
    </row>
    <row r="222">
      <c r="A222" s="1">
        <v>621.0</v>
      </c>
      <c r="B222" s="1" t="s">
        <v>104</v>
      </c>
      <c r="C222" s="1" t="s">
        <v>12</v>
      </c>
      <c r="D222" s="1" t="s">
        <v>54</v>
      </c>
      <c r="E222" s="1">
        <v>0.088</v>
      </c>
      <c r="F222" s="1">
        <v>0.0</v>
      </c>
      <c r="G222" s="1">
        <v>0.088</v>
      </c>
      <c r="H222" s="2">
        <f>IFERROR(__xludf.DUMMYFUNCTION("SPLIT(A222, ""~;"")"),621.0)</f>
        <v>621</v>
      </c>
    </row>
    <row r="223">
      <c r="A223" s="1">
        <v>621.0</v>
      </c>
      <c r="B223" s="1" t="s">
        <v>104</v>
      </c>
      <c r="C223" s="1" t="s">
        <v>14</v>
      </c>
      <c r="D223" s="1" t="s">
        <v>54</v>
      </c>
      <c r="E223" s="1">
        <v>0.0</v>
      </c>
      <c r="F223" s="1">
        <v>0.0</v>
      </c>
      <c r="G223" s="1">
        <v>0.0</v>
      </c>
      <c r="H223" s="2">
        <f>IFERROR(__xludf.DUMMYFUNCTION("SPLIT(A223, ""~;"")"),621.0)</f>
        <v>621</v>
      </c>
    </row>
    <row r="224">
      <c r="A224" s="1">
        <v>621.0</v>
      </c>
      <c r="B224" s="1" t="s">
        <v>104</v>
      </c>
      <c r="C224" s="1" t="s">
        <v>15</v>
      </c>
      <c r="D224" s="1" t="s">
        <v>54</v>
      </c>
      <c r="E224" s="1">
        <v>0.0</v>
      </c>
      <c r="F224" s="1">
        <v>0.0</v>
      </c>
      <c r="G224" s="1">
        <v>0.0</v>
      </c>
      <c r="H224" s="2">
        <f>IFERROR(__xludf.DUMMYFUNCTION("SPLIT(A224, ""~;"")"),621.0)</f>
        <v>621</v>
      </c>
    </row>
    <row r="225">
      <c r="A225" s="1">
        <v>621.0</v>
      </c>
      <c r="B225" s="1" t="s">
        <v>104</v>
      </c>
      <c r="C225" s="1" t="s">
        <v>16</v>
      </c>
      <c r="D225" s="1" t="s">
        <v>56</v>
      </c>
      <c r="E225" s="1">
        <v>0.003</v>
      </c>
      <c r="F225" s="1">
        <v>0.0</v>
      </c>
      <c r="G225" s="1">
        <v>0.003</v>
      </c>
      <c r="H225" s="2">
        <f>IFERROR(__xludf.DUMMYFUNCTION("SPLIT(A225, ""~;"")"),621.0)</f>
        <v>621</v>
      </c>
    </row>
    <row r="226">
      <c r="A226" s="1">
        <v>622.0</v>
      </c>
      <c r="B226" s="1" t="s">
        <v>105</v>
      </c>
      <c r="F226" s="1">
        <v>0.0</v>
      </c>
      <c r="G226" s="1">
        <v>0.144</v>
      </c>
      <c r="H226" s="2">
        <f>IFERROR(__xludf.DUMMYFUNCTION("SPLIT(A226, ""~;"")"),622.0)</f>
        <v>622</v>
      </c>
    </row>
    <row r="227">
      <c r="A227" s="1">
        <v>622.0</v>
      </c>
      <c r="B227" s="1" t="s">
        <v>106</v>
      </c>
      <c r="F227" s="1">
        <v>0.0</v>
      </c>
      <c r="G227" s="1">
        <v>0.001</v>
      </c>
      <c r="H227" s="2">
        <f>IFERROR(__xludf.DUMMYFUNCTION("SPLIT(A227, ""~;"")"),622.0)</f>
        <v>622</v>
      </c>
    </row>
    <row r="228">
      <c r="A228" s="1">
        <v>622.0</v>
      </c>
      <c r="B228" s="1" t="s">
        <v>107</v>
      </c>
      <c r="F228" s="1">
        <v>0.0</v>
      </c>
      <c r="G228" s="1">
        <v>0.0</v>
      </c>
      <c r="H228" s="2">
        <f>IFERROR(__xludf.DUMMYFUNCTION("SPLIT(A228, ""~;"")"),622.0)</f>
        <v>622</v>
      </c>
    </row>
    <row r="229">
      <c r="A229" s="1">
        <v>622.0</v>
      </c>
      <c r="B229" s="1" t="s">
        <v>108</v>
      </c>
      <c r="F229" s="1">
        <v>0.0</v>
      </c>
      <c r="G229" s="1">
        <v>0.003</v>
      </c>
      <c r="H229" s="2">
        <f>IFERROR(__xludf.DUMMYFUNCTION("SPLIT(A229, ""~;"")"),622.0)</f>
        <v>622</v>
      </c>
    </row>
    <row r="230">
      <c r="A230" s="1">
        <v>623.0</v>
      </c>
      <c r="B230" s="1" t="s">
        <v>109</v>
      </c>
      <c r="F230" s="1">
        <v>0.0</v>
      </c>
      <c r="G230" s="1">
        <v>0.14</v>
      </c>
      <c r="H230" s="2">
        <f>IFERROR(__xludf.DUMMYFUNCTION("SPLIT(A230, ""~;"")"),623.0)</f>
        <v>623</v>
      </c>
    </row>
    <row r="231">
      <c r="A231" s="1">
        <v>623.0</v>
      </c>
      <c r="B231" s="1" t="s">
        <v>110</v>
      </c>
      <c r="F231" s="1">
        <v>0.0</v>
      </c>
      <c r="G231" s="1">
        <v>0.001</v>
      </c>
      <c r="H231" s="2">
        <f>IFERROR(__xludf.DUMMYFUNCTION("SPLIT(A231, ""~;"")"),623.0)</f>
        <v>623</v>
      </c>
    </row>
    <row r="232">
      <c r="A232" s="1">
        <v>623.0</v>
      </c>
      <c r="B232" s="1" t="s">
        <v>111</v>
      </c>
      <c r="F232" s="1">
        <v>0.0</v>
      </c>
      <c r="G232" s="1">
        <v>0.0</v>
      </c>
      <c r="H232" s="2">
        <f>IFERROR(__xludf.DUMMYFUNCTION("SPLIT(A232, ""~;"")"),623.0)</f>
        <v>623</v>
      </c>
    </row>
    <row r="233">
      <c r="A233" s="1">
        <v>623.0</v>
      </c>
      <c r="B233" s="1" t="s">
        <v>112</v>
      </c>
      <c r="F233" s="1">
        <v>0.0</v>
      </c>
      <c r="G233" s="1">
        <v>0.005</v>
      </c>
      <c r="H233" s="2">
        <f>IFERROR(__xludf.DUMMYFUNCTION("SPLIT(A233, ""~;"")"),623.0)</f>
        <v>623</v>
      </c>
    </row>
    <row r="234">
      <c r="A234" s="1">
        <v>624.0</v>
      </c>
      <c r="B234" s="1" t="s">
        <v>113</v>
      </c>
      <c r="F234" s="1">
        <v>0.0</v>
      </c>
      <c r="G234" s="1">
        <v>0.135</v>
      </c>
      <c r="H234" s="2">
        <f>IFERROR(__xludf.DUMMYFUNCTION("SPLIT(A234, ""~;"")"),624.0)</f>
        <v>624</v>
      </c>
    </row>
    <row r="235">
      <c r="A235" s="1">
        <v>624.0</v>
      </c>
      <c r="B235" s="1" t="s">
        <v>114</v>
      </c>
      <c r="F235" s="1">
        <v>0.0</v>
      </c>
      <c r="G235" s="1">
        <v>0.001</v>
      </c>
      <c r="H235" s="2">
        <f>IFERROR(__xludf.DUMMYFUNCTION("SPLIT(A235, ""~;"")"),624.0)</f>
        <v>624</v>
      </c>
    </row>
    <row r="236">
      <c r="A236" s="1">
        <v>624.0</v>
      </c>
      <c r="B236" s="1" t="s">
        <v>115</v>
      </c>
      <c r="F236" s="1">
        <v>0.0</v>
      </c>
      <c r="G236" s="1">
        <v>0.0</v>
      </c>
      <c r="H236" s="2">
        <f>IFERROR(__xludf.DUMMYFUNCTION("SPLIT(A236, ""~;"")"),624.0)</f>
        <v>624</v>
      </c>
    </row>
    <row r="237">
      <c r="A237" s="1">
        <v>624.0</v>
      </c>
      <c r="B237" s="1" t="s">
        <v>116</v>
      </c>
      <c r="F237" s="1">
        <v>0.0</v>
      </c>
      <c r="G237" s="1">
        <v>0.004</v>
      </c>
      <c r="H237" s="2">
        <f>IFERROR(__xludf.DUMMYFUNCTION("SPLIT(A237, ""~;"")"),624.0)</f>
        <v>624</v>
      </c>
    </row>
    <row r="238">
      <c r="A238" s="1" t="s">
        <v>117</v>
      </c>
      <c r="B238" s="1" t="s">
        <v>118</v>
      </c>
      <c r="C238" s="1" t="s">
        <v>12</v>
      </c>
      <c r="D238" s="1" t="s">
        <v>54</v>
      </c>
      <c r="E238" s="1">
        <v>0.073</v>
      </c>
      <c r="F238" s="1">
        <v>0.0</v>
      </c>
      <c r="G238" s="1">
        <v>0.073</v>
      </c>
      <c r="H238" s="2" t="str">
        <f>IFERROR(__xludf.DUMMYFUNCTION("SPLIT(A238, ""~;"")"),"711AS")</f>
        <v>711AS</v>
      </c>
    </row>
    <row r="239">
      <c r="A239" s="1" t="s">
        <v>117</v>
      </c>
      <c r="B239" s="1" t="s">
        <v>118</v>
      </c>
      <c r="C239" s="1" t="s">
        <v>14</v>
      </c>
      <c r="D239" s="1" t="s">
        <v>54</v>
      </c>
      <c r="E239" s="1">
        <v>0.0</v>
      </c>
      <c r="F239" s="1">
        <v>0.0</v>
      </c>
      <c r="G239" s="1">
        <v>0.0</v>
      </c>
      <c r="H239" s="2" t="str">
        <f>IFERROR(__xludf.DUMMYFUNCTION("SPLIT(A239, ""~;"")"),"711AS")</f>
        <v>711AS</v>
      </c>
    </row>
    <row r="240">
      <c r="A240" s="1" t="s">
        <v>117</v>
      </c>
      <c r="B240" s="1" t="s">
        <v>118</v>
      </c>
      <c r="C240" s="1" t="s">
        <v>15</v>
      </c>
      <c r="D240" s="1" t="s">
        <v>54</v>
      </c>
      <c r="E240" s="1">
        <v>0.0</v>
      </c>
      <c r="F240" s="1">
        <v>0.0</v>
      </c>
      <c r="G240" s="1">
        <v>0.0</v>
      </c>
      <c r="H240" s="2" t="str">
        <f>IFERROR(__xludf.DUMMYFUNCTION("SPLIT(A240, ""~;"")"),"711AS")</f>
        <v>711AS</v>
      </c>
    </row>
    <row r="241">
      <c r="A241" s="1" t="s">
        <v>117</v>
      </c>
      <c r="B241" s="1" t="s">
        <v>118</v>
      </c>
      <c r="C241" s="1" t="s">
        <v>16</v>
      </c>
      <c r="D241" s="1" t="s">
        <v>56</v>
      </c>
      <c r="E241" s="1">
        <v>0.001</v>
      </c>
      <c r="F241" s="1">
        <v>0.0</v>
      </c>
      <c r="G241" s="1">
        <v>0.001</v>
      </c>
      <c r="H241" s="2" t="str">
        <f>IFERROR(__xludf.DUMMYFUNCTION("SPLIT(A241, ""~;"")"),"711AS")</f>
        <v>711AS</v>
      </c>
    </row>
    <row r="242">
      <c r="A242" s="1">
        <v>713.0</v>
      </c>
      <c r="B242" s="1" t="s">
        <v>119</v>
      </c>
      <c r="C242" s="1" t="s">
        <v>12</v>
      </c>
      <c r="D242" s="1" t="s">
        <v>54</v>
      </c>
      <c r="E242" s="1">
        <v>0.326</v>
      </c>
      <c r="F242" s="1">
        <v>0.0</v>
      </c>
      <c r="G242" s="1">
        <v>0.326</v>
      </c>
      <c r="H242" s="2">
        <f>IFERROR(__xludf.DUMMYFUNCTION("SPLIT(A242, ""~;"")"),713.0)</f>
        <v>713</v>
      </c>
    </row>
    <row r="243">
      <c r="A243" s="1">
        <v>713.0</v>
      </c>
      <c r="B243" s="1" t="s">
        <v>119</v>
      </c>
      <c r="C243" s="1" t="s">
        <v>14</v>
      </c>
      <c r="D243" s="1" t="s">
        <v>54</v>
      </c>
      <c r="E243" s="1">
        <v>0.002</v>
      </c>
      <c r="F243" s="1">
        <v>0.0</v>
      </c>
      <c r="G243" s="1">
        <v>0.002</v>
      </c>
      <c r="H243" s="2">
        <f>IFERROR(__xludf.DUMMYFUNCTION("SPLIT(A243, ""~;"")"),713.0)</f>
        <v>713</v>
      </c>
    </row>
    <row r="244">
      <c r="A244" s="1">
        <v>713.0</v>
      </c>
      <c r="B244" s="1" t="s">
        <v>119</v>
      </c>
      <c r="C244" s="1" t="s">
        <v>15</v>
      </c>
      <c r="D244" s="1" t="s">
        <v>54</v>
      </c>
      <c r="E244" s="1">
        <v>0.0</v>
      </c>
      <c r="F244" s="1">
        <v>0.0</v>
      </c>
      <c r="G244" s="1">
        <v>0.0</v>
      </c>
      <c r="H244" s="2">
        <f>IFERROR(__xludf.DUMMYFUNCTION("SPLIT(A244, ""~;"")"),713.0)</f>
        <v>713</v>
      </c>
    </row>
    <row r="245">
      <c r="A245" s="1">
        <v>713.0</v>
      </c>
      <c r="B245" s="1" t="s">
        <v>119</v>
      </c>
      <c r="C245" s="1" t="s">
        <v>16</v>
      </c>
      <c r="D245" s="1" t="s">
        <v>56</v>
      </c>
      <c r="E245" s="1">
        <v>0.004</v>
      </c>
      <c r="F245" s="1">
        <v>0.0</v>
      </c>
      <c r="G245" s="1">
        <v>0.004</v>
      </c>
      <c r="H245" s="2">
        <f>IFERROR(__xludf.DUMMYFUNCTION("SPLIT(A245, ""~;"")"),713.0)</f>
        <v>713</v>
      </c>
    </row>
    <row r="246">
      <c r="A246" s="1">
        <v>721.0</v>
      </c>
      <c r="B246" s="1" t="s">
        <v>120</v>
      </c>
      <c r="C246" s="1" t="s">
        <v>12</v>
      </c>
      <c r="D246" s="1" t="s">
        <v>54</v>
      </c>
      <c r="E246" s="1">
        <v>0.158</v>
      </c>
      <c r="F246" s="1">
        <v>0.0</v>
      </c>
      <c r="G246" s="1">
        <v>0.158</v>
      </c>
      <c r="H246" s="2">
        <f>IFERROR(__xludf.DUMMYFUNCTION("SPLIT(A246, ""~;"")"),721.0)</f>
        <v>721</v>
      </c>
    </row>
    <row r="247">
      <c r="A247" s="1">
        <v>721.0</v>
      </c>
      <c r="B247" s="1" t="s">
        <v>120</v>
      </c>
      <c r="C247" s="1" t="s">
        <v>14</v>
      </c>
      <c r="D247" s="1" t="s">
        <v>54</v>
      </c>
      <c r="E247" s="1">
        <v>0.001</v>
      </c>
      <c r="F247" s="1">
        <v>0.0</v>
      </c>
      <c r="G247" s="1">
        <v>0.001</v>
      </c>
      <c r="H247" s="2">
        <f>IFERROR(__xludf.DUMMYFUNCTION("SPLIT(A247, ""~;"")"),721.0)</f>
        <v>721</v>
      </c>
    </row>
    <row r="248">
      <c r="A248" s="1">
        <v>721.0</v>
      </c>
      <c r="B248" s="1" t="s">
        <v>120</v>
      </c>
      <c r="C248" s="1" t="s">
        <v>15</v>
      </c>
      <c r="D248" s="1" t="s">
        <v>54</v>
      </c>
      <c r="E248" s="1">
        <v>0.0</v>
      </c>
      <c r="F248" s="1">
        <v>0.0</v>
      </c>
      <c r="G248" s="1">
        <v>0.0</v>
      </c>
      <c r="H248" s="2">
        <f>IFERROR(__xludf.DUMMYFUNCTION("SPLIT(A248, ""~;"")"),721.0)</f>
        <v>721</v>
      </c>
    </row>
    <row r="249">
      <c r="A249" s="1">
        <v>721.0</v>
      </c>
      <c r="B249" s="1" t="s">
        <v>120</v>
      </c>
      <c r="C249" s="1" t="s">
        <v>16</v>
      </c>
      <c r="D249" s="1" t="s">
        <v>56</v>
      </c>
      <c r="E249" s="1">
        <v>0.002</v>
      </c>
      <c r="F249" s="1">
        <v>0.0</v>
      </c>
      <c r="G249" s="1">
        <v>0.002</v>
      </c>
      <c r="H249" s="2">
        <f>IFERROR(__xludf.DUMMYFUNCTION("SPLIT(A249, ""~;"")"),721.0)</f>
        <v>721</v>
      </c>
    </row>
    <row r="250">
      <c r="A250" s="1">
        <v>722.0</v>
      </c>
      <c r="B250" s="1" t="s">
        <v>121</v>
      </c>
      <c r="C250" s="1" t="s">
        <v>12</v>
      </c>
      <c r="D250" s="1" t="s">
        <v>54</v>
      </c>
      <c r="E250" s="1">
        <v>0.194</v>
      </c>
      <c r="F250" s="1">
        <v>0.0</v>
      </c>
      <c r="G250" s="1">
        <v>0.194</v>
      </c>
      <c r="H250" s="2">
        <f>IFERROR(__xludf.DUMMYFUNCTION("SPLIT(A250, ""~;"")"),722.0)</f>
        <v>722</v>
      </c>
    </row>
    <row r="251">
      <c r="A251" s="1">
        <v>722.0</v>
      </c>
      <c r="B251" s="1" t="s">
        <v>121</v>
      </c>
      <c r="C251" s="1" t="s">
        <v>14</v>
      </c>
      <c r="D251" s="1" t="s">
        <v>54</v>
      </c>
      <c r="E251" s="1">
        <v>0.001</v>
      </c>
      <c r="F251" s="1">
        <v>0.0</v>
      </c>
      <c r="G251" s="1">
        <v>0.001</v>
      </c>
      <c r="H251" s="2">
        <f>IFERROR(__xludf.DUMMYFUNCTION("SPLIT(A251, ""~;"")"),722.0)</f>
        <v>722</v>
      </c>
    </row>
    <row r="252">
      <c r="A252" s="1">
        <v>722.0</v>
      </c>
      <c r="B252" s="1" t="s">
        <v>121</v>
      </c>
      <c r="C252" s="1" t="s">
        <v>15</v>
      </c>
      <c r="D252" s="1" t="s">
        <v>54</v>
      </c>
      <c r="E252" s="1">
        <v>0.0</v>
      </c>
      <c r="F252" s="1">
        <v>0.0</v>
      </c>
      <c r="G252" s="1">
        <v>0.0</v>
      </c>
      <c r="H252" s="2">
        <f>IFERROR(__xludf.DUMMYFUNCTION("SPLIT(A252, ""~;"")"),722.0)</f>
        <v>722</v>
      </c>
    </row>
    <row r="253">
      <c r="A253" s="1">
        <v>722.0</v>
      </c>
      <c r="B253" s="1" t="s">
        <v>121</v>
      </c>
      <c r="C253" s="1" t="s">
        <v>16</v>
      </c>
      <c r="D253" s="1" t="s">
        <v>56</v>
      </c>
      <c r="E253" s="1">
        <v>0.006</v>
      </c>
      <c r="F253" s="1">
        <v>0.0</v>
      </c>
      <c r="G253" s="1">
        <v>0.006</v>
      </c>
      <c r="H253" s="2">
        <f>IFERROR(__xludf.DUMMYFUNCTION("SPLIT(A253, ""~;"")"),722.0)</f>
        <v>722</v>
      </c>
    </row>
    <row r="254">
      <c r="A254" s="1">
        <v>81.0</v>
      </c>
      <c r="B254" s="1" t="s">
        <v>122</v>
      </c>
      <c r="C254" s="1" t="s">
        <v>12</v>
      </c>
      <c r="D254" s="1" t="s">
        <v>54</v>
      </c>
      <c r="E254" s="1">
        <v>0.124</v>
      </c>
      <c r="F254" s="1">
        <v>0.0</v>
      </c>
      <c r="G254" s="1">
        <v>0.124</v>
      </c>
      <c r="H254" s="2">
        <f>IFERROR(__xludf.DUMMYFUNCTION("SPLIT(A254, ""~;"")"),81.0)</f>
        <v>81</v>
      </c>
    </row>
    <row r="255">
      <c r="A255" s="1">
        <v>81.0</v>
      </c>
      <c r="B255" s="1" t="s">
        <v>122</v>
      </c>
      <c r="C255" s="1" t="s">
        <v>14</v>
      </c>
      <c r="D255" s="1" t="s">
        <v>54</v>
      </c>
      <c r="E255" s="1">
        <v>0.001</v>
      </c>
      <c r="F255" s="1">
        <v>0.0</v>
      </c>
      <c r="G255" s="1">
        <v>0.001</v>
      </c>
      <c r="H255" s="2">
        <f>IFERROR(__xludf.DUMMYFUNCTION("SPLIT(A255, ""~;"")"),81.0)</f>
        <v>81</v>
      </c>
    </row>
    <row r="256">
      <c r="A256" s="1">
        <v>81.0</v>
      </c>
      <c r="B256" s="1" t="s">
        <v>122</v>
      </c>
      <c r="C256" s="1" t="s">
        <v>15</v>
      </c>
      <c r="D256" s="1" t="s">
        <v>54</v>
      </c>
      <c r="E256" s="1">
        <v>0.0</v>
      </c>
      <c r="F256" s="1">
        <v>0.0</v>
      </c>
      <c r="G256" s="1">
        <v>0.0</v>
      </c>
      <c r="H256" s="2">
        <f>IFERROR(__xludf.DUMMYFUNCTION("SPLIT(A256, ""~;"")"),81.0)</f>
        <v>81</v>
      </c>
    </row>
    <row r="257">
      <c r="A257" s="1">
        <v>81.0</v>
      </c>
      <c r="B257" s="1" t="s">
        <v>122</v>
      </c>
      <c r="C257" s="1" t="s">
        <v>16</v>
      </c>
      <c r="D257" s="1" t="s">
        <v>56</v>
      </c>
      <c r="E257" s="1">
        <v>0.004</v>
      </c>
      <c r="F257" s="1">
        <v>0.0</v>
      </c>
      <c r="G257" s="1">
        <v>0.004</v>
      </c>
      <c r="H257" s="2">
        <f>IFERROR(__xludf.DUMMYFUNCTION("SPLIT(A257, ""~;"")"),81.0)</f>
        <v>81</v>
      </c>
    </row>
    <row r="258">
      <c r="A258" s="1" t="s">
        <v>123</v>
      </c>
      <c r="B258" s="1" t="s">
        <v>124</v>
      </c>
      <c r="C258" s="1" t="s">
        <v>12</v>
      </c>
      <c r="D258" s="1" t="s">
        <v>54</v>
      </c>
      <c r="E258" s="1">
        <v>0.021</v>
      </c>
      <c r="F258" s="1">
        <v>0.0</v>
      </c>
      <c r="G258" s="1">
        <v>0.021</v>
      </c>
      <c r="H258" s="2" t="str">
        <f>IFERROR(__xludf.DUMMYFUNCTION("SPLIT(A258, ""~;"")"),"HS")</f>
        <v>HS</v>
      </c>
    </row>
    <row r="259">
      <c r="A259" s="1" t="s">
        <v>123</v>
      </c>
      <c r="B259" s="1" t="s">
        <v>124</v>
      </c>
      <c r="C259" s="1" t="s">
        <v>14</v>
      </c>
      <c r="D259" s="1" t="s">
        <v>54</v>
      </c>
      <c r="E259" s="1">
        <v>0.0</v>
      </c>
      <c r="F259" s="1">
        <v>0.0</v>
      </c>
      <c r="G259" s="1">
        <v>0.0</v>
      </c>
      <c r="H259" s="2" t="str">
        <f>IFERROR(__xludf.DUMMYFUNCTION("SPLIT(A259, ""~;"")"),"HS")</f>
        <v>HS</v>
      </c>
    </row>
    <row r="260">
      <c r="A260" s="1" t="s">
        <v>123</v>
      </c>
      <c r="B260" s="1" t="s">
        <v>124</v>
      </c>
      <c r="C260" s="1" t="s">
        <v>15</v>
      </c>
      <c r="D260" s="1" t="s">
        <v>54</v>
      </c>
      <c r="E260" s="1">
        <v>0.0</v>
      </c>
      <c r="F260" s="1">
        <v>0.0</v>
      </c>
      <c r="G260" s="1">
        <v>0.0</v>
      </c>
      <c r="H260" s="2" t="str">
        <f>IFERROR(__xludf.DUMMYFUNCTION("SPLIT(A260, ""~;"")"),"HS")</f>
        <v>HS</v>
      </c>
    </row>
    <row r="261">
      <c r="A261" s="1" t="s">
        <v>123</v>
      </c>
      <c r="B261" s="1" t="s">
        <v>124</v>
      </c>
      <c r="C261" s="1" t="s">
        <v>16</v>
      </c>
      <c r="D261" s="1" t="s">
        <v>56</v>
      </c>
      <c r="E261" s="1">
        <v>0.001</v>
      </c>
      <c r="F261" s="1">
        <v>0.0</v>
      </c>
      <c r="G261" s="1">
        <v>0.001</v>
      </c>
      <c r="H261" s="2" t="str">
        <f>IFERROR(__xludf.DUMMYFUNCTION("SPLIT(A261, ""~;"")"),"HS")</f>
        <v>HS</v>
      </c>
    </row>
    <row r="262">
      <c r="A262" s="1" t="s">
        <v>125</v>
      </c>
      <c r="B262" s="1" t="s">
        <v>126</v>
      </c>
      <c r="C262" s="1" t="s">
        <v>12</v>
      </c>
      <c r="D262" s="1" t="s">
        <v>54</v>
      </c>
      <c r="E262" s="1">
        <v>0.405</v>
      </c>
      <c r="F262" s="1">
        <v>0.0</v>
      </c>
      <c r="G262" s="1">
        <v>0.405</v>
      </c>
      <c r="H262" s="2" t="str">
        <f>IFERROR(__xludf.DUMMYFUNCTION("SPLIT(A262, ""~;"")"),"ORE")</f>
        <v>ORE</v>
      </c>
    </row>
    <row r="263">
      <c r="A263" s="1" t="s">
        <v>125</v>
      </c>
      <c r="B263" s="1" t="s">
        <v>126</v>
      </c>
      <c r="C263" s="1" t="s">
        <v>14</v>
      </c>
      <c r="D263" s="1" t="s">
        <v>54</v>
      </c>
      <c r="E263" s="1">
        <v>0.001</v>
      </c>
      <c r="F263" s="1">
        <v>0.0</v>
      </c>
      <c r="G263" s="1">
        <v>0.001</v>
      </c>
      <c r="H263" s="2" t="str">
        <f>IFERROR(__xludf.DUMMYFUNCTION("SPLIT(A263, ""~;"")"),"ORE")</f>
        <v>ORE</v>
      </c>
    </row>
    <row r="264">
      <c r="A264" s="1" t="s">
        <v>125</v>
      </c>
      <c r="B264" s="1" t="s">
        <v>126</v>
      </c>
      <c r="C264" s="1" t="s">
        <v>15</v>
      </c>
      <c r="D264" s="1" t="s">
        <v>54</v>
      </c>
      <c r="E264" s="1">
        <v>0.0</v>
      </c>
      <c r="F264" s="1">
        <v>0.0</v>
      </c>
      <c r="G264" s="1">
        <v>0.0</v>
      </c>
      <c r="H264" s="2" t="str">
        <f>IFERROR(__xludf.DUMMYFUNCTION("SPLIT(A264, ""~;"")"),"ORE")</f>
        <v>ORE</v>
      </c>
    </row>
    <row r="265">
      <c r="A265" s="1" t="s">
        <v>125</v>
      </c>
      <c r="B265" s="1" t="s">
        <v>126</v>
      </c>
      <c r="C265" s="1" t="s">
        <v>16</v>
      </c>
      <c r="D265" s="1" t="s">
        <v>56</v>
      </c>
      <c r="E265" s="1">
        <v>0.004</v>
      </c>
      <c r="F265" s="1">
        <v>0.0</v>
      </c>
      <c r="G265" s="1">
        <v>0.004</v>
      </c>
      <c r="H265" s="2" t="str">
        <f>IFERROR(__xludf.DUMMYFUNCTION("SPLIT(A265, ""~;"")"),"ORE")</f>
        <v>ORE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32.63"/>
    <col customWidth="1" min="3" max="3" width="14.88"/>
    <col customWidth="1" min="4" max="5" width="17.88"/>
    <col customWidth="1" min="6" max="6" width="39.25"/>
    <col customWidth="1" min="7" max="7" width="33.88"/>
    <col customWidth="1" min="8" max="8" width="34.13"/>
  </cols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8</v>
      </c>
      <c r="F1" s="1" t="s">
        <v>4</v>
      </c>
      <c r="G1" s="1" t="s">
        <v>5</v>
      </c>
      <c r="H1" s="1" t="s">
        <v>7</v>
      </c>
    </row>
    <row r="2">
      <c r="A2" s="2" t="s">
        <v>10</v>
      </c>
      <c r="B2" s="2" t="s">
        <v>11</v>
      </c>
      <c r="C2" s="2" t="s">
        <v>12</v>
      </c>
      <c r="D2" s="3" t="s">
        <v>13</v>
      </c>
      <c r="E2" s="3" t="s">
        <v>8</v>
      </c>
      <c r="F2" s="2">
        <v>0.467</v>
      </c>
      <c r="G2" s="2">
        <v>0.046</v>
      </c>
      <c r="H2" s="2">
        <v>0.513</v>
      </c>
    </row>
    <row r="3">
      <c r="A3" s="2" t="s">
        <v>10</v>
      </c>
      <c r="B3" s="2" t="s">
        <v>11</v>
      </c>
      <c r="C3" s="2" t="s">
        <v>14</v>
      </c>
      <c r="D3" s="3" t="s">
        <v>13</v>
      </c>
      <c r="E3" s="3" t="s">
        <v>8</v>
      </c>
      <c r="F3" s="2">
        <v>0.025</v>
      </c>
      <c r="G3" s="2">
        <v>0.0</v>
      </c>
      <c r="H3" s="2">
        <v>0.026</v>
      </c>
    </row>
    <row r="4">
      <c r="A4" s="2" t="s">
        <v>10</v>
      </c>
      <c r="B4" s="2" t="s">
        <v>11</v>
      </c>
      <c r="C4" s="2" t="s">
        <v>15</v>
      </c>
      <c r="D4" s="3" t="s">
        <v>13</v>
      </c>
      <c r="E4" s="3" t="s">
        <v>8</v>
      </c>
      <c r="F4" s="2">
        <v>0.002</v>
      </c>
      <c r="G4" s="2">
        <v>0.0</v>
      </c>
      <c r="H4" s="2">
        <v>0.002</v>
      </c>
    </row>
    <row r="5">
      <c r="A5" s="2" t="s">
        <v>10</v>
      </c>
      <c r="B5" s="2" t="s">
        <v>11</v>
      </c>
      <c r="C5" s="2" t="s">
        <v>16</v>
      </c>
      <c r="D5" s="3" t="s">
        <v>17</v>
      </c>
      <c r="E5" s="3" t="s">
        <v>8</v>
      </c>
      <c r="F5" s="2">
        <v>0.004</v>
      </c>
      <c r="G5" s="2">
        <v>0.0</v>
      </c>
      <c r="H5" s="2">
        <v>0.004</v>
      </c>
    </row>
    <row r="6">
      <c r="A6" s="2" t="s">
        <v>18</v>
      </c>
      <c r="B6" s="2" t="s">
        <v>19</v>
      </c>
      <c r="C6" s="2" t="s">
        <v>12</v>
      </c>
      <c r="D6" s="3" t="s">
        <v>13</v>
      </c>
      <c r="E6" s="3" t="s">
        <v>8</v>
      </c>
      <c r="F6" s="2">
        <v>0.199</v>
      </c>
      <c r="G6" s="2">
        <v>0.024</v>
      </c>
      <c r="H6" s="2">
        <v>0.223</v>
      </c>
    </row>
    <row r="7">
      <c r="A7" s="2" t="s">
        <v>18</v>
      </c>
      <c r="B7" s="2" t="s">
        <v>19</v>
      </c>
      <c r="C7" s="2" t="s">
        <v>14</v>
      </c>
      <c r="D7" s="3" t="s">
        <v>13</v>
      </c>
      <c r="E7" s="3" t="s">
        <v>8</v>
      </c>
      <c r="F7" s="2">
        <v>0.003</v>
      </c>
      <c r="G7" s="2">
        <v>0.0</v>
      </c>
      <c r="H7" s="2">
        <v>0.003</v>
      </c>
    </row>
    <row r="8">
      <c r="A8" s="2" t="s">
        <v>18</v>
      </c>
      <c r="B8" s="2" t="s">
        <v>19</v>
      </c>
      <c r="C8" s="2" t="s">
        <v>15</v>
      </c>
      <c r="D8" s="3" t="s">
        <v>13</v>
      </c>
      <c r="E8" s="3" t="s">
        <v>8</v>
      </c>
      <c r="F8" s="2">
        <v>0.0</v>
      </c>
      <c r="G8" s="2">
        <v>0.0</v>
      </c>
      <c r="H8" s="2">
        <v>0.0</v>
      </c>
    </row>
    <row r="9">
      <c r="A9" s="2" t="s">
        <v>18</v>
      </c>
      <c r="B9" s="2" t="s">
        <v>19</v>
      </c>
      <c r="C9" s="2" t="s">
        <v>16</v>
      </c>
      <c r="D9" s="3" t="s">
        <v>17</v>
      </c>
      <c r="E9" s="3" t="s">
        <v>8</v>
      </c>
      <c r="F9" s="2">
        <v>0.002</v>
      </c>
      <c r="G9" s="2">
        <v>0.0</v>
      </c>
      <c r="H9" s="2">
        <v>0.002</v>
      </c>
    </row>
    <row r="10">
      <c r="A10" s="2">
        <v>211.0</v>
      </c>
      <c r="B10" s="2" t="s">
        <v>21</v>
      </c>
      <c r="C10" s="2" t="s">
        <v>12</v>
      </c>
      <c r="D10" s="3" t="s">
        <v>13</v>
      </c>
      <c r="E10" s="3" t="s">
        <v>8</v>
      </c>
      <c r="F10" s="2">
        <v>0.508</v>
      </c>
      <c r="G10" s="2">
        <v>0.062</v>
      </c>
      <c r="H10" s="2">
        <v>0.569</v>
      </c>
    </row>
    <row r="11">
      <c r="A11" s="2">
        <v>211.0</v>
      </c>
      <c r="B11" s="2" t="s">
        <v>21</v>
      </c>
      <c r="C11" s="2" t="s">
        <v>14</v>
      </c>
      <c r="D11" s="3" t="s">
        <v>13</v>
      </c>
      <c r="E11" s="3" t="s">
        <v>8</v>
      </c>
      <c r="F11" s="2">
        <v>0.028</v>
      </c>
      <c r="G11" s="2">
        <v>0.001</v>
      </c>
      <c r="H11" s="2">
        <v>0.028</v>
      </c>
    </row>
    <row r="12">
      <c r="A12" s="2">
        <v>211.0</v>
      </c>
      <c r="B12" s="2" t="s">
        <v>21</v>
      </c>
      <c r="C12" s="2" t="s">
        <v>15</v>
      </c>
      <c r="D12" s="3" t="s">
        <v>13</v>
      </c>
      <c r="E12" s="3" t="s">
        <v>8</v>
      </c>
      <c r="F12" s="2">
        <v>0.0</v>
      </c>
      <c r="G12" s="2">
        <v>0.0</v>
      </c>
      <c r="H12" s="2">
        <v>0.0</v>
      </c>
    </row>
    <row r="13">
      <c r="A13" s="2">
        <v>211.0</v>
      </c>
      <c r="B13" s="2" t="s">
        <v>21</v>
      </c>
      <c r="C13" s="2" t="s">
        <v>16</v>
      </c>
      <c r="D13" s="3" t="s">
        <v>17</v>
      </c>
      <c r="E13" s="3" t="s">
        <v>8</v>
      </c>
      <c r="F13" s="2">
        <v>0.004</v>
      </c>
      <c r="G13" s="2">
        <v>0.0</v>
      </c>
      <c r="H13" s="2">
        <v>0.004</v>
      </c>
    </row>
    <row r="14">
      <c r="A14" s="2">
        <v>212.0</v>
      </c>
      <c r="B14" s="2" t="s">
        <v>23</v>
      </c>
      <c r="C14" s="2" t="s">
        <v>12</v>
      </c>
      <c r="D14" s="3" t="s">
        <v>13</v>
      </c>
      <c r="E14" s="3" t="s">
        <v>8</v>
      </c>
      <c r="F14" s="2">
        <v>0.639</v>
      </c>
      <c r="G14" s="2">
        <v>0.11</v>
      </c>
      <c r="H14" s="2">
        <v>0.749</v>
      </c>
    </row>
    <row r="15">
      <c r="A15" s="2">
        <v>212.0</v>
      </c>
      <c r="B15" s="2" t="s">
        <v>23</v>
      </c>
      <c r="C15" s="2" t="s">
        <v>14</v>
      </c>
      <c r="D15" s="3" t="s">
        <v>13</v>
      </c>
      <c r="E15" s="3" t="s">
        <v>8</v>
      </c>
      <c r="F15" s="2">
        <v>0.022</v>
      </c>
      <c r="G15" s="2">
        <v>0.001</v>
      </c>
      <c r="H15" s="2">
        <v>0.023</v>
      </c>
    </row>
    <row r="16">
      <c r="A16" s="2">
        <v>212.0</v>
      </c>
      <c r="B16" s="2" t="s">
        <v>23</v>
      </c>
      <c r="C16" s="2" t="s">
        <v>15</v>
      </c>
      <c r="D16" s="3" t="s">
        <v>13</v>
      </c>
      <c r="E16" s="3" t="s">
        <v>8</v>
      </c>
      <c r="F16" s="2">
        <v>0.0</v>
      </c>
      <c r="G16" s="2">
        <v>0.0</v>
      </c>
      <c r="H16" s="2">
        <v>0.0</v>
      </c>
    </row>
    <row r="17">
      <c r="A17" s="2">
        <v>212.0</v>
      </c>
      <c r="B17" s="2" t="s">
        <v>23</v>
      </c>
      <c r="C17" s="2" t="s">
        <v>16</v>
      </c>
      <c r="D17" s="3" t="s">
        <v>17</v>
      </c>
      <c r="E17" s="3" t="s">
        <v>8</v>
      </c>
      <c r="F17" s="2">
        <v>0.005</v>
      </c>
      <c r="G17" s="2">
        <v>0.0</v>
      </c>
      <c r="H17" s="2">
        <v>0.005</v>
      </c>
    </row>
    <row r="18">
      <c r="A18" s="2">
        <v>213.0</v>
      </c>
      <c r="B18" s="2" t="s">
        <v>24</v>
      </c>
      <c r="C18" s="2" t="s">
        <v>12</v>
      </c>
      <c r="D18" s="3" t="s">
        <v>13</v>
      </c>
      <c r="E18" s="3" t="s">
        <v>8</v>
      </c>
      <c r="F18" s="2">
        <v>0.445</v>
      </c>
      <c r="G18" s="2">
        <v>0.0</v>
      </c>
      <c r="H18" s="2">
        <v>0.445</v>
      </c>
    </row>
    <row r="19">
      <c r="A19" s="2">
        <v>213.0</v>
      </c>
      <c r="B19" s="2" t="s">
        <v>24</v>
      </c>
      <c r="C19" s="2" t="s">
        <v>14</v>
      </c>
      <c r="D19" s="3" t="s">
        <v>13</v>
      </c>
      <c r="E19" s="3" t="s">
        <v>8</v>
      </c>
      <c r="F19" s="2">
        <v>0.013</v>
      </c>
      <c r="G19" s="2">
        <v>0.0</v>
      </c>
      <c r="H19" s="2">
        <v>0.013</v>
      </c>
    </row>
    <row r="20">
      <c r="A20" s="2">
        <v>213.0</v>
      </c>
      <c r="B20" s="2" t="s">
        <v>24</v>
      </c>
      <c r="C20" s="2" t="s">
        <v>15</v>
      </c>
      <c r="D20" s="3" t="s">
        <v>13</v>
      </c>
      <c r="E20" s="3" t="s">
        <v>8</v>
      </c>
      <c r="F20" s="2">
        <v>0.0</v>
      </c>
      <c r="G20" s="2">
        <v>0.0</v>
      </c>
      <c r="H20" s="2">
        <v>0.0</v>
      </c>
    </row>
    <row r="21">
      <c r="A21" s="2">
        <v>213.0</v>
      </c>
      <c r="B21" s="2" t="s">
        <v>24</v>
      </c>
      <c r="C21" s="2" t="s">
        <v>16</v>
      </c>
      <c r="D21" s="3" t="s">
        <v>17</v>
      </c>
      <c r="E21" s="3" t="s">
        <v>8</v>
      </c>
      <c r="F21" s="2">
        <v>0.004</v>
      </c>
      <c r="G21" s="2">
        <v>0.0</v>
      </c>
      <c r="H21" s="2">
        <v>0.004</v>
      </c>
    </row>
    <row r="22">
      <c r="A22" s="2">
        <v>22.0</v>
      </c>
      <c r="B22" s="1" t="s">
        <v>27</v>
      </c>
      <c r="C22" s="1" t="s">
        <v>12</v>
      </c>
      <c r="D22" s="1" t="s">
        <v>13</v>
      </c>
      <c r="E22" s="1" t="s">
        <v>8</v>
      </c>
      <c r="F22" s="1">
        <v>2.884</v>
      </c>
      <c r="G22" s="1">
        <v>0.0</v>
      </c>
      <c r="H22" s="1">
        <v>2.884</v>
      </c>
    </row>
    <row r="23">
      <c r="A23" s="2">
        <v>22.0</v>
      </c>
      <c r="B23" s="1" t="s">
        <v>27</v>
      </c>
      <c r="C23" s="1" t="s">
        <v>14</v>
      </c>
      <c r="D23" s="1" t="s">
        <v>13</v>
      </c>
      <c r="E23" s="1" t="s">
        <v>8</v>
      </c>
      <c r="F23" s="1">
        <v>0.005</v>
      </c>
      <c r="G23" s="1">
        <v>0.0</v>
      </c>
      <c r="H23" s="1">
        <v>0.005</v>
      </c>
    </row>
    <row r="24">
      <c r="A24" s="2">
        <v>22.0</v>
      </c>
      <c r="B24" s="1" t="s">
        <v>27</v>
      </c>
      <c r="C24" s="1" t="s">
        <v>15</v>
      </c>
      <c r="D24" s="1" t="s">
        <v>13</v>
      </c>
      <c r="E24" s="1" t="s">
        <v>8</v>
      </c>
      <c r="F24" s="1">
        <v>0.0</v>
      </c>
      <c r="G24" s="1">
        <v>0.0</v>
      </c>
      <c r="H24" s="1">
        <v>0.0</v>
      </c>
    </row>
    <row r="25">
      <c r="A25" s="2">
        <v>22.0</v>
      </c>
      <c r="B25" s="1" t="s">
        <v>27</v>
      </c>
      <c r="C25" s="1" t="s">
        <v>16</v>
      </c>
      <c r="D25" s="1" t="s">
        <v>17</v>
      </c>
      <c r="E25" s="1" t="s">
        <v>8</v>
      </c>
      <c r="F25" s="1">
        <v>0.01</v>
      </c>
      <c r="G25" s="1">
        <v>0.0</v>
      </c>
      <c r="H25" s="1">
        <v>0.01</v>
      </c>
    </row>
    <row r="26">
      <c r="A26" s="2">
        <v>23.0</v>
      </c>
      <c r="B26" s="1" t="s">
        <v>30</v>
      </c>
      <c r="C26" s="1" t="s">
        <v>12</v>
      </c>
      <c r="D26" s="1" t="s">
        <v>13</v>
      </c>
      <c r="E26" s="1" t="s">
        <v>8</v>
      </c>
      <c r="F26" s="1">
        <v>0.259</v>
      </c>
      <c r="G26" s="1">
        <v>0.0</v>
      </c>
      <c r="H26" s="1">
        <v>0.259</v>
      </c>
    </row>
    <row r="27">
      <c r="A27" s="2">
        <v>23.0</v>
      </c>
      <c r="B27" s="1" t="s">
        <v>30</v>
      </c>
      <c r="C27" s="1" t="s">
        <v>14</v>
      </c>
      <c r="D27" s="1" t="s">
        <v>13</v>
      </c>
      <c r="E27" s="1" t="s">
        <v>8</v>
      </c>
      <c r="F27" s="1">
        <v>0.002</v>
      </c>
      <c r="G27" s="1">
        <v>0.0</v>
      </c>
      <c r="H27" s="1">
        <v>0.002</v>
      </c>
    </row>
    <row r="28">
      <c r="A28" s="2">
        <v>23.0</v>
      </c>
      <c r="B28" s="1" t="s">
        <v>30</v>
      </c>
      <c r="C28" s="1" t="s">
        <v>15</v>
      </c>
      <c r="D28" s="1" t="s">
        <v>13</v>
      </c>
      <c r="E28" s="1" t="s">
        <v>8</v>
      </c>
      <c r="F28" s="1">
        <v>0.0</v>
      </c>
      <c r="G28" s="1">
        <v>0.0</v>
      </c>
      <c r="H28" s="1">
        <v>0.0</v>
      </c>
    </row>
    <row r="29">
      <c r="A29" s="2">
        <v>23.0</v>
      </c>
      <c r="B29" s="1" t="s">
        <v>30</v>
      </c>
      <c r="C29" s="1" t="s">
        <v>16</v>
      </c>
      <c r="D29" s="1" t="s">
        <v>17</v>
      </c>
      <c r="E29" s="1" t="s">
        <v>8</v>
      </c>
      <c r="F29" s="1">
        <v>0.02</v>
      </c>
      <c r="G29" s="1">
        <v>0.0</v>
      </c>
      <c r="H29" s="1">
        <v>0.02</v>
      </c>
    </row>
    <row r="30">
      <c r="A30" s="2" t="s">
        <v>33</v>
      </c>
      <c r="B30" s="1" t="s">
        <v>34</v>
      </c>
      <c r="C30" s="1" t="s">
        <v>12</v>
      </c>
      <c r="D30" s="1" t="s">
        <v>13</v>
      </c>
      <c r="E30" s="1" t="s">
        <v>8</v>
      </c>
      <c r="F30" s="1">
        <v>0.317</v>
      </c>
      <c r="G30" s="1">
        <v>0.019</v>
      </c>
      <c r="H30" s="1">
        <v>0.336</v>
      </c>
    </row>
    <row r="31">
      <c r="A31" s="2" t="s">
        <v>33</v>
      </c>
      <c r="B31" s="1" t="s">
        <v>34</v>
      </c>
      <c r="C31" s="1" t="s">
        <v>14</v>
      </c>
      <c r="D31" s="1" t="s">
        <v>13</v>
      </c>
      <c r="E31" s="1" t="s">
        <v>8</v>
      </c>
      <c r="F31" s="1">
        <v>0.008</v>
      </c>
      <c r="G31" s="1">
        <v>0.0</v>
      </c>
      <c r="H31" s="1">
        <v>0.008</v>
      </c>
    </row>
    <row r="32">
      <c r="A32" s="2" t="s">
        <v>33</v>
      </c>
      <c r="B32" s="1" t="s">
        <v>34</v>
      </c>
      <c r="C32" s="1" t="s">
        <v>15</v>
      </c>
      <c r="D32" s="1" t="s">
        <v>13</v>
      </c>
      <c r="E32" s="1" t="s">
        <v>8</v>
      </c>
      <c r="F32" s="1">
        <v>0.001</v>
      </c>
      <c r="G32" s="1">
        <v>0.0</v>
      </c>
      <c r="H32" s="1">
        <v>0.001</v>
      </c>
    </row>
    <row r="33">
      <c r="A33" s="2" t="s">
        <v>33</v>
      </c>
      <c r="B33" s="1" t="s">
        <v>34</v>
      </c>
      <c r="C33" s="1" t="s">
        <v>16</v>
      </c>
      <c r="D33" s="1" t="s">
        <v>17</v>
      </c>
      <c r="E33" s="1" t="s">
        <v>8</v>
      </c>
      <c r="F33" s="1">
        <v>0.007</v>
      </c>
      <c r="G33" s="1">
        <v>0.0</v>
      </c>
      <c r="H33" s="1">
        <v>0.007</v>
      </c>
    </row>
    <row r="34">
      <c r="A34" s="2" t="s">
        <v>36</v>
      </c>
      <c r="B34" s="1" t="s">
        <v>37</v>
      </c>
      <c r="C34" s="1" t="s">
        <v>12</v>
      </c>
      <c r="D34" s="1" t="s">
        <v>13</v>
      </c>
      <c r="E34" s="1" t="s">
        <v>8</v>
      </c>
      <c r="F34" s="1">
        <v>0.272</v>
      </c>
      <c r="G34" s="1">
        <v>0.05</v>
      </c>
      <c r="H34" s="1">
        <v>0.322</v>
      </c>
    </row>
    <row r="35">
      <c r="A35" s="2" t="s">
        <v>36</v>
      </c>
      <c r="B35" s="1" t="s">
        <v>37</v>
      </c>
      <c r="C35" s="1" t="s">
        <v>14</v>
      </c>
      <c r="D35" s="1" t="s">
        <v>13</v>
      </c>
      <c r="E35" s="1" t="s">
        <v>8</v>
      </c>
      <c r="F35" s="1">
        <v>0.002</v>
      </c>
      <c r="G35" s="1">
        <v>0.0</v>
      </c>
      <c r="H35" s="1">
        <v>0.002</v>
      </c>
    </row>
    <row r="36">
      <c r="A36" s="2" t="s">
        <v>36</v>
      </c>
      <c r="B36" s="1" t="s">
        <v>37</v>
      </c>
      <c r="C36" s="1" t="s">
        <v>15</v>
      </c>
      <c r="D36" s="1" t="s">
        <v>13</v>
      </c>
      <c r="E36" s="1" t="s">
        <v>8</v>
      </c>
      <c r="F36" s="1">
        <v>0.0</v>
      </c>
      <c r="G36" s="1">
        <v>0.0</v>
      </c>
      <c r="H36" s="1">
        <v>0.0</v>
      </c>
    </row>
    <row r="37">
      <c r="A37" s="2" t="s">
        <v>36</v>
      </c>
      <c r="B37" s="1" t="s">
        <v>37</v>
      </c>
      <c r="C37" s="1" t="s">
        <v>16</v>
      </c>
      <c r="D37" s="1" t="s">
        <v>17</v>
      </c>
      <c r="E37" s="1" t="s">
        <v>8</v>
      </c>
      <c r="F37" s="1">
        <v>0.005</v>
      </c>
      <c r="G37" s="1">
        <v>0.0</v>
      </c>
      <c r="H37" s="1">
        <v>0.005</v>
      </c>
    </row>
    <row r="38">
      <c r="A38" s="2" t="s">
        <v>40</v>
      </c>
      <c r="B38" s="1" t="s">
        <v>41</v>
      </c>
      <c r="C38" s="1" t="s">
        <v>12</v>
      </c>
      <c r="D38" s="1" t="s">
        <v>13</v>
      </c>
      <c r="E38" s="1" t="s">
        <v>8</v>
      </c>
      <c r="F38" s="1">
        <v>0.078</v>
      </c>
      <c r="G38" s="1">
        <v>0.305</v>
      </c>
      <c r="H38" s="1">
        <v>0.383</v>
      </c>
    </row>
    <row r="39">
      <c r="A39" s="2" t="s">
        <v>40</v>
      </c>
      <c r="B39" s="1" t="s">
        <v>41</v>
      </c>
      <c r="C39" s="1" t="s">
        <v>14</v>
      </c>
      <c r="D39" s="1" t="s">
        <v>13</v>
      </c>
      <c r="E39" s="1" t="s">
        <v>8</v>
      </c>
      <c r="F39" s="1">
        <v>0.001</v>
      </c>
      <c r="G39" s="1">
        <v>0.002</v>
      </c>
      <c r="H39" s="1">
        <v>0.002</v>
      </c>
    </row>
    <row r="40">
      <c r="A40" s="2" t="s">
        <v>40</v>
      </c>
      <c r="B40" s="1" t="s">
        <v>41</v>
      </c>
      <c r="C40" s="1" t="s">
        <v>15</v>
      </c>
      <c r="D40" s="1" t="s">
        <v>13</v>
      </c>
      <c r="E40" s="1" t="s">
        <v>8</v>
      </c>
      <c r="F40" s="1">
        <v>0.0</v>
      </c>
      <c r="G40" s="1">
        <v>0.0</v>
      </c>
      <c r="H40" s="1">
        <v>0.0</v>
      </c>
    </row>
    <row r="41">
      <c r="A41" s="2" t="s">
        <v>40</v>
      </c>
      <c r="B41" s="1" t="s">
        <v>41</v>
      </c>
      <c r="C41" s="1" t="s">
        <v>16</v>
      </c>
      <c r="D41" s="1" t="s">
        <v>17</v>
      </c>
      <c r="E41" s="1" t="s">
        <v>8</v>
      </c>
      <c r="F41" s="1">
        <v>0.002</v>
      </c>
      <c r="G41" s="1">
        <v>0.0</v>
      </c>
      <c r="H41" s="1">
        <v>0.002</v>
      </c>
    </row>
    <row r="42">
      <c r="A42" s="2">
        <v>321.0</v>
      </c>
      <c r="B42" s="1" t="s">
        <v>44</v>
      </c>
      <c r="C42" s="1" t="s">
        <v>12</v>
      </c>
      <c r="D42" s="1" t="s">
        <v>13</v>
      </c>
      <c r="E42" s="1" t="s">
        <v>8</v>
      </c>
      <c r="F42" s="1">
        <v>0.189</v>
      </c>
      <c r="G42" s="1">
        <v>0.029</v>
      </c>
      <c r="H42" s="1">
        <v>0.218</v>
      </c>
    </row>
    <row r="43">
      <c r="A43" s="2">
        <v>321.0</v>
      </c>
      <c r="B43" s="1" t="s">
        <v>44</v>
      </c>
      <c r="C43" s="1" t="s">
        <v>14</v>
      </c>
      <c r="D43" s="1" t="s">
        <v>13</v>
      </c>
      <c r="E43" s="1" t="s">
        <v>8</v>
      </c>
      <c r="F43" s="1">
        <v>0.001</v>
      </c>
      <c r="G43" s="1">
        <v>0.0</v>
      </c>
      <c r="H43" s="1">
        <v>0.001</v>
      </c>
    </row>
    <row r="44">
      <c r="A44" s="2">
        <v>321.0</v>
      </c>
      <c r="B44" s="1" t="s">
        <v>44</v>
      </c>
      <c r="C44" s="1" t="s">
        <v>15</v>
      </c>
      <c r="D44" s="1" t="s">
        <v>13</v>
      </c>
      <c r="E44" s="1" t="s">
        <v>8</v>
      </c>
      <c r="F44" s="1">
        <v>0.0</v>
      </c>
      <c r="G44" s="1">
        <v>0.0</v>
      </c>
      <c r="H44" s="1">
        <v>0.0</v>
      </c>
    </row>
    <row r="45">
      <c r="A45" s="2">
        <v>321.0</v>
      </c>
      <c r="B45" s="1" t="s">
        <v>44</v>
      </c>
      <c r="C45" s="1" t="s">
        <v>16</v>
      </c>
      <c r="D45" s="1" t="s">
        <v>17</v>
      </c>
      <c r="E45" s="1" t="s">
        <v>8</v>
      </c>
      <c r="F45" s="1">
        <v>0.01</v>
      </c>
      <c r="G45" s="1">
        <v>0.0</v>
      </c>
      <c r="H45" s="1">
        <v>0.01</v>
      </c>
    </row>
    <row r="46">
      <c r="A46" s="2">
        <v>322.0</v>
      </c>
      <c r="B46" s="1" t="s">
        <v>47</v>
      </c>
      <c r="C46" s="1" t="s">
        <v>12</v>
      </c>
      <c r="D46" s="1" t="s">
        <v>13</v>
      </c>
      <c r="E46" s="1" t="s">
        <v>8</v>
      </c>
      <c r="F46" s="1">
        <v>0.345</v>
      </c>
      <c r="G46" s="1">
        <v>0.021</v>
      </c>
      <c r="H46" s="1">
        <v>0.366</v>
      </c>
    </row>
    <row r="47">
      <c r="A47" s="2">
        <v>322.0</v>
      </c>
      <c r="B47" s="1" t="s">
        <v>47</v>
      </c>
      <c r="C47" s="1" t="s">
        <v>14</v>
      </c>
      <c r="D47" s="1" t="s">
        <v>13</v>
      </c>
      <c r="E47" s="1" t="s">
        <v>8</v>
      </c>
      <c r="F47" s="1">
        <v>0.001</v>
      </c>
      <c r="G47" s="1">
        <v>0.0</v>
      </c>
      <c r="H47" s="1">
        <v>0.001</v>
      </c>
    </row>
    <row r="48">
      <c r="A48" s="2">
        <v>322.0</v>
      </c>
      <c r="B48" s="1" t="s">
        <v>47</v>
      </c>
      <c r="C48" s="1" t="s">
        <v>15</v>
      </c>
      <c r="D48" s="1" t="s">
        <v>13</v>
      </c>
      <c r="E48" s="1" t="s">
        <v>8</v>
      </c>
      <c r="F48" s="1">
        <v>0.0</v>
      </c>
      <c r="G48" s="1">
        <v>0.0</v>
      </c>
      <c r="H48" s="1">
        <v>0.0</v>
      </c>
    </row>
    <row r="49">
      <c r="A49" s="2">
        <v>322.0</v>
      </c>
      <c r="B49" s="1" t="s">
        <v>47</v>
      </c>
      <c r="C49" s="1" t="s">
        <v>16</v>
      </c>
      <c r="D49" s="1" t="s">
        <v>17</v>
      </c>
      <c r="E49" s="1" t="s">
        <v>8</v>
      </c>
      <c r="F49" s="1">
        <v>0.005</v>
      </c>
      <c r="G49" s="1">
        <v>0.0</v>
      </c>
      <c r="H49" s="1">
        <v>0.005</v>
      </c>
    </row>
    <row r="50">
      <c r="A50" s="2">
        <v>323.0</v>
      </c>
      <c r="B50" s="1" t="s">
        <v>50</v>
      </c>
      <c r="C50" s="1" t="s">
        <v>12</v>
      </c>
      <c r="D50" s="1" t="s">
        <v>13</v>
      </c>
      <c r="E50" s="1" t="s">
        <v>8</v>
      </c>
      <c r="F50" s="1">
        <v>0.21</v>
      </c>
      <c r="G50" s="1">
        <v>0.02</v>
      </c>
      <c r="H50" s="1">
        <v>0.23</v>
      </c>
    </row>
    <row r="51">
      <c r="A51" s="2">
        <v>323.0</v>
      </c>
      <c r="B51" s="1" t="s">
        <v>50</v>
      </c>
      <c r="C51" s="1" t="s">
        <v>14</v>
      </c>
      <c r="D51" s="1" t="s">
        <v>13</v>
      </c>
      <c r="E51" s="1" t="s">
        <v>8</v>
      </c>
      <c r="F51" s="1">
        <v>0.001</v>
      </c>
      <c r="G51" s="1">
        <v>0.0</v>
      </c>
      <c r="H51" s="1">
        <v>0.001</v>
      </c>
    </row>
    <row r="52">
      <c r="A52" s="2">
        <v>323.0</v>
      </c>
      <c r="B52" s="1" t="s">
        <v>50</v>
      </c>
      <c r="C52" s="1" t="s">
        <v>15</v>
      </c>
      <c r="D52" s="1" t="s">
        <v>13</v>
      </c>
      <c r="E52" s="1" t="s">
        <v>8</v>
      </c>
      <c r="F52" s="1">
        <v>0.0</v>
      </c>
      <c r="G52" s="1">
        <v>0.0</v>
      </c>
      <c r="H52" s="1">
        <v>0.0</v>
      </c>
    </row>
    <row r="53">
      <c r="A53" s="2">
        <v>323.0</v>
      </c>
      <c r="B53" s="1" t="s">
        <v>50</v>
      </c>
      <c r="C53" s="1" t="s">
        <v>16</v>
      </c>
      <c r="D53" s="1" t="s">
        <v>17</v>
      </c>
      <c r="E53" s="1" t="s">
        <v>8</v>
      </c>
      <c r="F53" s="1">
        <v>0.004</v>
      </c>
      <c r="G53" s="1">
        <v>0.0</v>
      </c>
      <c r="H53" s="1">
        <v>0.004</v>
      </c>
    </row>
    <row r="54">
      <c r="A54" s="2">
        <v>324.0</v>
      </c>
      <c r="B54" s="1" t="s">
        <v>53</v>
      </c>
      <c r="C54" s="1" t="s">
        <v>12</v>
      </c>
      <c r="D54" s="1" t="s">
        <v>13</v>
      </c>
      <c r="E54" s="1" t="s">
        <v>8</v>
      </c>
      <c r="F54" s="1">
        <v>0.755</v>
      </c>
      <c r="G54" s="1">
        <v>0.018</v>
      </c>
      <c r="H54" s="1">
        <v>0.773</v>
      </c>
    </row>
    <row r="55">
      <c r="A55" s="2">
        <v>324.0</v>
      </c>
      <c r="B55" s="1" t="s">
        <v>53</v>
      </c>
      <c r="C55" s="1" t="s">
        <v>14</v>
      </c>
      <c r="D55" s="1" t="s">
        <v>13</v>
      </c>
      <c r="E55" s="1" t="s">
        <v>8</v>
      </c>
      <c r="F55" s="1">
        <v>0.018</v>
      </c>
      <c r="G55" s="1">
        <v>0.0</v>
      </c>
      <c r="H55" s="1">
        <v>0.018</v>
      </c>
    </row>
    <row r="56">
      <c r="A56" s="2">
        <v>324.0</v>
      </c>
      <c r="B56" s="1" t="s">
        <v>53</v>
      </c>
      <c r="C56" s="1" t="s">
        <v>15</v>
      </c>
      <c r="D56" s="1" t="s">
        <v>13</v>
      </c>
      <c r="E56" s="1" t="s">
        <v>8</v>
      </c>
      <c r="F56" s="1">
        <v>0.0</v>
      </c>
      <c r="G56" s="1">
        <v>0.0</v>
      </c>
      <c r="H56" s="1">
        <v>0.0</v>
      </c>
    </row>
    <row r="57">
      <c r="A57" s="2">
        <v>324.0</v>
      </c>
      <c r="B57" s="1" t="s">
        <v>53</v>
      </c>
      <c r="C57" s="1" t="s">
        <v>16</v>
      </c>
      <c r="D57" s="1" t="s">
        <v>17</v>
      </c>
      <c r="E57" s="1" t="s">
        <v>8</v>
      </c>
      <c r="F57" s="1">
        <v>0.005</v>
      </c>
      <c r="G57" s="1">
        <v>0.0</v>
      </c>
      <c r="H57" s="1">
        <v>0.005</v>
      </c>
    </row>
    <row r="58">
      <c r="A58" s="2">
        <v>325.0</v>
      </c>
      <c r="B58" s="1" t="s">
        <v>55</v>
      </c>
      <c r="C58" s="1" t="s">
        <v>12</v>
      </c>
      <c r="D58" s="1" t="s">
        <v>13</v>
      </c>
      <c r="E58" s="1" t="s">
        <v>8</v>
      </c>
      <c r="F58" s="1">
        <v>0.282</v>
      </c>
      <c r="G58" s="1">
        <v>0.013</v>
      </c>
      <c r="H58" s="1">
        <v>0.295</v>
      </c>
    </row>
    <row r="59">
      <c r="A59" s="2">
        <v>325.0</v>
      </c>
      <c r="B59" s="1" t="s">
        <v>55</v>
      </c>
      <c r="C59" s="1" t="s">
        <v>14</v>
      </c>
      <c r="D59" s="1" t="s">
        <v>13</v>
      </c>
      <c r="E59" s="1" t="s">
        <v>8</v>
      </c>
      <c r="F59" s="1">
        <v>0.001</v>
      </c>
      <c r="G59" s="1">
        <v>0.0</v>
      </c>
      <c r="H59" s="1">
        <v>0.001</v>
      </c>
    </row>
    <row r="60">
      <c r="A60" s="2">
        <v>325.0</v>
      </c>
      <c r="B60" s="1" t="s">
        <v>55</v>
      </c>
      <c r="C60" s="1" t="s">
        <v>15</v>
      </c>
      <c r="D60" s="1" t="s">
        <v>13</v>
      </c>
      <c r="E60" s="1" t="s">
        <v>8</v>
      </c>
      <c r="F60" s="1">
        <v>0.0</v>
      </c>
      <c r="G60" s="1">
        <v>0.0</v>
      </c>
      <c r="H60" s="1">
        <v>0.0</v>
      </c>
    </row>
    <row r="61">
      <c r="A61" s="2">
        <v>325.0</v>
      </c>
      <c r="B61" s="1" t="s">
        <v>55</v>
      </c>
      <c r="C61" s="1" t="s">
        <v>16</v>
      </c>
      <c r="D61" s="1" t="s">
        <v>17</v>
      </c>
      <c r="E61" s="1" t="s">
        <v>8</v>
      </c>
      <c r="F61" s="1">
        <v>0.01</v>
      </c>
      <c r="G61" s="1">
        <v>0.0</v>
      </c>
      <c r="H61" s="1">
        <v>0.01</v>
      </c>
    </row>
    <row r="62">
      <c r="A62" s="2">
        <v>326.0</v>
      </c>
      <c r="B62" s="1" t="s">
        <v>57</v>
      </c>
      <c r="C62" s="1" t="s">
        <v>12</v>
      </c>
      <c r="D62" s="1" t="s">
        <v>13</v>
      </c>
      <c r="E62" s="1" t="s">
        <v>8</v>
      </c>
      <c r="F62" s="1">
        <v>0.164</v>
      </c>
      <c r="G62" s="1">
        <v>0.009</v>
      </c>
      <c r="H62" s="1">
        <v>0.173</v>
      </c>
    </row>
    <row r="63">
      <c r="A63" s="2">
        <v>326.0</v>
      </c>
      <c r="B63" s="1" t="s">
        <v>57</v>
      </c>
      <c r="C63" s="1" t="s">
        <v>14</v>
      </c>
      <c r="D63" s="1" t="s">
        <v>13</v>
      </c>
      <c r="E63" s="1" t="s">
        <v>8</v>
      </c>
      <c r="F63" s="1">
        <v>0.001</v>
      </c>
      <c r="G63" s="1">
        <v>0.0</v>
      </c>
      <c r="H63" s="1">
        <v>0.001</v>
      </c>
    </row>
    <row r="64">
      <c r="A64" s="2">
        <v>326.0</v>
      </c>
      <c r="B64" s="1" t="s">
        <v>57</v>
      </c>
      <c r="C64" s="1" t="s">
        <v>15</v>
      </c>
      <c r="D64" s="1" t="s">
        <v>13</v>
      </c>
      <c r="E64" s="1" t="s">
        <v>8</v>
      </c>
      <c r="F64" s="1">
        <v>0.0</v>
      </c>
      <c r="G64" s="1">
        <v>0.0</v>
      </c>
      <c r="H64" s="1">
        <v>0.0</v>
      </c>
    </row>
    <row r="65">
      <c r="A65" s="2">
        <v>326.0</v>
      </c>
      <c r="B65" s="1" t="s">
        <v>57</v>
      </c>
      <c r="C65" s="1" t="s">
        <v>16</v>
      </c>
      <c r="D65" s="1" t="s">
        <v>17</v>
      </c>
      <c r="E65" s="1" t="s">
        <v>8</v>
      </c>
      <c r="F65" s="1">
        <v>0.011</v>
      </c>
      <c r="G65" s="1">
        <v>0.0</v>
      </c>
      <c r="H65" s="1">
        <v>0.011</v>
      </c>
    </row>
    <row r="66">
      <c r="A66" s="2">
        <v>327.0</v>
      </c>
      <c r="B66" s="1" t="s">
        <v>58</v>
      </c>
      <c r="C66" s="1" t="s">
        <v>12</v>
      </c>
      <c r="D66" s="1" t="s">
        <v>13</v>
      </c>
      <c r="E66" s="1" t="s">
        <v>8</v>
      </c>
      <c r="F66" s="1">
        <v>0.499</v>
      </c>
      <c r="G66" s="1">
        <v>0.039</v>
      </c>
      <c r="H66" s="1">
        <v>0.538</v>
      </c>
    </row>
    <row r="67">
      <c r="A67" s="2">
        <v>327.0</v>
      </c>
      <c r="B67" s="1" t="s">
        <v>58</v>
      </c>
      <c r="C67" s="1" t="s">
        <v>14</v>
      </c>
      <c r="D67" s="1" t="s">
        <v>13</v>
      </c>
      <c r="E67" s="1" t="s">
        <v>8</v>
      </c>
      <c r="F67" s="1">
        <v>0.001</v>
      </c>
      <c r="G67" s="1">
        <v>0.0</v>
      </c>
      <c r="H67" s="1">
        <v>0.002</v>
      </c>
    </row>
    <row r="68">
      <c r="A68" s="2">
        <v>327.0</v>
      </c>
      <c r="B68" s="1" t="s">
        <v>58</v>
      </c>
      <c r="C68" s="1" t="s">
        <v>15</v>
      </c>
      <c r="D68" s="1" t="s">
        <v>13</v>
      </c>
      <c r="E68" s="1" t="s">
        <v>8</v>
      </c>
      <c r="F68" s="1">
        <v>0.0</v>
      </c>
      <c r="G68" s="1">
        <v>0.0</v>
      </c>
      <c r="H68" s="1">
        <v>0.0</v>
      </c>
    </row>
    <row r="69">
      <c r="A69" s="2">
        <v>327.0</v>
      </c>
      <c r="B69" s="1" t="s">
        <v>58</v>
      </c>
      <c r="C69" s="1" t="s">
        <v>16</v>
      </c>
      <c r="D69" s="1" t="s">
        <v>17</v>
      </c>
      <c r="E69" s="1" t="s">
        <v>8</v>
      </c>
      <c r="F69" s="1">
        <v>0.004</v>
      </c>
      <c r="G69" s="1">
        <v>0.0</v>
      </c>
      <c r="H69" s="1">
        <v>0.004</v>
      </c>
    </row>
    <row r="70">
      <c r="A70" s="2">
        <v>331.0</v>
      </c>
      <c r="B70" s="1" t="s">
        <v>59</v>
      </c>
      <c r="C70" s="1" t="s">
        <v>12</v>
      </c>
      <c r="D70" s="1" t="s">
        <v>13</v>
      </c>
      <c r="E70" s="1" t="s">
        <v>8</v>
      </c>
      <c r="F70" s="1">
        <v>0.058</v>
      </c>
      <c r="G70" s="1">
        <v>0.002</v>
      </c>
      <c r="H70" s="1">
        <v>0.06</v>
      </c>
    </row>
    <row r="71">
      <c r="A71" s="2">
        <v>331.0</v>
      </c>
      <c r="B71" s="1" t="s">
        <v>59</v>
      </c>
      <c r="C71" s="1" t="s">
        <v>14</v>
      </c>
      <c r="D71" s="1" t="s">
        <v>13</v>
      </c>
      <c r="E71" s="1" t="s">
        <v>8</v>
      </c>
      <c r="F71" s="1">
        <v>0.0</v>
      </c>
      <c r="G71" s="1">
        <v>0.0</v>
      </c>
      <c r="H71" s="1">
        <v>0.0</v>
      </c>
    </row>
    <row r="72">
      <c r="A72" s="2">
        <v>331.0</v>
      </c>
      <c r="B72" s="1" t="s">
        <v>59</v>
      </c>
      <c r="C72" s="1" t="s">
        <v>15</v>
      </c>
      <c r="D72" s="1" t="s">
        <v>13</v>
      </c>
      <c r="E72" s="1" t="s">
        <v>8</v>
      </c>
      <c r="F72" s="1">
        <v>0.0</v>
      </c>
      <c r="G72" s="1">
        <v>0.0</v>
      </c>
      <c r="H72" s="1">
        <v>0.0</v>
      </c>
    </row>
    <row r="73">
      <c r="A73" s="2">
        <v>331.0</v>
      </c>
      <c r="B73" s="1" t="s">
        <v>59</v>
      </c>
      <c r="C73" s="1" t="s">
        <v>16</v>
      </c>
      <c r="D73" s="1" t="s">
        <v>17</v>
      </c>
      <c r="E73" s="1" t="s">
        <v>8</v>
      </c>
      <c r="F73" s="1">
        <v>0.021</v>
      </c>
      <c r="G73" s="1">
        <v>0.0</v>
      </c>
      <c r="H73" s="1">
        <v>0.021</v>
      </c>
    </row>
    <row r="74">
      <c r="A74" s="2">
        <v>332.0</v>
      </c>
      <c r="B74" s="1" t="s">
        <v>60</v>
      </c>
      <c r="C74" s="1" t="s">
        <v>12</v>
      </c>
      <c r="D74" s="1" t="s">
        <v>13</v>
      </c>
      <c r="E74" s="1" t="s">
        <v>8</v>
      </c>
      <c r="F74" s="1">
        <v>0.225</v>
      </c>
      <c r="G74" s="1">
        <v>0.015</v>
      </c>
      <c r="H74" s="1">
        <v>0.239</v>
      </c>
    </row>
    <row r="75">
      <c r="A75" s="2">
        <v>332.0</v>
      </c>
      <c r="B75" s="1" t="s">
        <v>60</v>
      </c>
      <c r="C75" s="1" t="s">
        <v>14</v>
      </c>
      <c r="D75" s="1" t="s">
        <v>13</v>
      </c>
      <c r="E75" s="1" t="s">
        <v>8</v>
      </c>
      <c r="F75" s="1">
        <v>0.001</v>
      </c>
      <c r="G75" s="1">
        <v>0.0</v>
      </c>
      <c r="H75" s="1">
        <v>0.001</v>
      </c>
    </row>
    <row r="76">
      <c r="A76" s="2">
        <v>332.0</v>
      </c>
      <c r="B76" s="1" t="s">
        <v>60</v>
      </c>
      <c r="C76" s="1" t="s">
        <v>15</v>
      </c>
      <c r="D76" s="1" t="s">
        <v>13</v>
      </c>
      <c r="E76" s="1" t="s">
        <v>8</v>
      </c>
      <c r="F76" s="1">
        <v>0.0</v>
      </c>
      <c r="G76" s="1">
        <v>0.0</v>
      </c>
      <c r="H76" s="1">
        <v>0.0</v>
      </c>
    </row>
    <row r="77">
      <c r="A77" s="2">
        <v>332.0</v>
      </c>
      <c r="B77" s="1" t="s">
        <v>60</v>
      </c>
      <c r="C77" s="1" t="s">
        <v>16</v>
      </c>
      <c r="D77" s="1" t="s">
        <v>17</v>
      </c>
      <c r="E77" s="1" t="s">
        <v>8</v>
      </c>
      <c r="F77" s="1">
        <v>0.008</v>
      </c>
      <c r="G77" s="1">
        <v>0.0</v>
      </c>
      <c r="H77" s="1">
        <v>0.008</v>
      </c>
    </row>
    <row r="78">
      <c r="A78" s="2">
        <v>333.0</v>
      </c>
      <c r="B78" s="1" t="s">
        <v>61</v>
      </c>
      <c r="C78" s="1" t="s">
        <v>12</v>
      </c>
      <c r="D78" s="1" t="s">
        <v>13</v>
      </c>
      <c r="E78" s="1" t="s">
        <v>8</v>
      </c>
      <c r="F78" s="1">
        <v>0.167</v>
      </c>
      <c r="G78" s="1">
        <v>0.019</v>
      </c>
      <c r="H78" s="1">
        <v>0.185</v>
      </c>
    </row>
    <row r="79">
      <c r="A79" s="2">
        <v>333.0</v>
      </c>
      <c r="B79" s="1" t="s">
        <v>61</v>
      </c>
      <c r="C79" s="1" t="s">
        <v>14</v>
      </c>
      <c r="D79" s="1" t="s">
        <v>13</v>
      </c>
      <c r="E79" s="1" t="s">
        <v>8</v>
      </c>
      <c r="F79" s="1">
        <v>0.001</v>
      </c>
      <c r="G79" s="1">
        <v>0.0</v>
      </c>
      <c r="H79" s="1">
        <v>0.001</v>
      </c>
    </row>
    <row r="80">
      <c r="A80" s="2">
        <v>333.0</v>
      </c>
      <c r="B80" s="1" t="s">
        <v>61</v>
      </c>
      <c r="C80" s="1" t="s">
        <v>15</v>
      </c>
      <c r="D80" s="1" t="s">
        <v>13</v>
      </c>
      <c r="E80" s="1" t="s">
        <v>8</v>
      </c>
      <c r="F80" s="1">
        <v>0.0</v>
      </c>
      <c r="G80" s="1">
        <v>0.0</v>
      </c>
      <c r="H80" s="1">
        <v>0.0</v>
      </c>
    </row>
    <row r="81">
      <c r="A81" s="2">
        <v>333.0</v>
      </c>
      <c r="B81" s="1" t="s">
        <v>61</v>
      </c>
      <c r="C81" s="1" t="s">
        <v>16</v>
      </c>
      <c r="D81" s="1" t="s">
        <v>17</v>
      </c>
      <c r="E81" s="1" t="s">
        <v>8</v>
      </c>
      <c r="F81" s="1">
        <v>0.043</v>
      </c>
      <c r="G81" s="1">
        <v>0.0</v>
      </c>
      <c r="H81" s="1">
        <v>0.043</v>
      </c>
    </row>
    <row r="82">
      <c r="A82" s="2">
        <v>334.0</v>
      </c>
      <c r="B82" s="1" t="s">
        <v>62</v>
      </c>
      <c r="C82" s="1" t="s">
        <v>12</v>
      </c>
      <c r="D82" s="1" t="s">
        <v>13</v>
      </c>
      <c r="E82" s="1" t="s">
        <v>8</v>
      </c>
      <c r="F82" s="1">
        <v>0.043</v>
      </c>
      <c r="G82" s="1">
        <v>0.022</v>
      </c>
      <c r="H82" s="1">
        <v>0.064</v>
      </c>
    </row>
    <row r="83">
      <c r="A83" s="2">
        <v>334.0</v>
      </c>
      <c r="B83" s="1" t="s">
        <v>62</v>
      </c>
      <c r="C83" s="1" t="s">
        <v>14</v>
      </c>
      <c r="D83" s="1" t="s">
        <v>13</v>
      </c>
      <c r="E83" s="1" t="s">
        <v>8</v>
      </c>
      <c r="F83" s="1">
        <v>0.0</v>
      </c>
      <c r="G83" s="1">
        <v>0.0</v>
      </c>
      <c r="H83" s="1">
        <v>0.0</v>
      </c>
    </row>
    <row r="84">
      <c r="A84" s="2">
        <v>334.0</v>
      </c>
      <c r="B84" s="1" t="s">
        <v>62</v>
      </c>
      <c r="C84" s="1" t="s">
        <v>15</v>
      </c>
      <c r="D84" s="1" t="s">
        <v>13</v>
      </c>
      <c r="E84" s="1" t="s">
        <v>8</v>
      </c>
      <c r="F84" s="1">
        <v>0.0</v>
      </c>
      <c r="G84" s="1">
        <v>0.0</v>
      </c>
      <c r="H84" s="1">
        <v>0.0</v>
      </c>
    </row>
    <row r="85">
      <c r="A85" s="2">
        <v>334.0</v>
      </c>
      <c r="B85" s="1" t="s">
        <v>62</v>
      </c>
      <c r="C85" s="1" t="s">
        <v>16</v>
      </c>
      <c r="D85" s="1" t="s">
        <v>17</v>
      </c>
      <c r="E85" s="1" t="s">
        <v>8</v>
      </c>
      <c r="F85" s="1">
        <v>0.015</v>
      </c>
      <c r="G85" s="1">
        <v>0.0</v>
      </c>
      <c r="H85" s="1">
        <v>0.015</v>
      </c>
    </row>
    <row r="86">
      <c r="A86" s="2">
        <v>335.0</v>
      </c>
      <c r="B86" s="1" t="s">
        <v>63</v>
      </c>
      <c r="C86" s="1" t="s">
        <v>12</v>
      </c>
      <c r="D86" s="1" t="s">
        <v>13</v>
      </c>
      <c r="E86" s="1" t="s">
        <v>8</v>
      </c>
      <c r="F86" s="1">
        <v>0.197</v>
      </c>
      <c r="G86" s="1">
        <v>0.034</v>
      </c>
      <c r="H86" s="1">
        <v>0.232</v>
      </c>
    </row>
    <row r="87">
      <c r="A87" s="2">
        <v>335.0</v>
      </c>
      <c r="B87" s="1" t="s">
        <v>63</v>
      </c>
      <c r="C87" s="1" t="s">
        <v>14</v>
      </c>
      <c r="D87" s="1" t="s">
        <v>13</v>
      </c>
      <c r="E87" s="1" t="s">
        <v>8</v>
      </c>
      <c r="F87" s="1">
        <v>0.001</v>
      </c>
      <c r="G87" s="1">
        <v>0.0</v>
      </c>
      <c r="H87" s="1">
        <v>0.001</v>
      </c>
    </row>
    <row r="88">
      <c r="A88" s="2">
        <v>335.0</v>
      </c>
      <c r="B88" s="1" t="s">
        <v>63</v>
      </c>
      <c r="C88" s="1" t="s">
        <v>15</v>
      </c>
      <c r="D88" s="1" t="s">
        <v>13</v>
      </c>
      <c r="E88" s="1" t="s">
        <v>8</v>
      </c>
      <c r="F88" s="1">
        <v>0.0</v>
      </c>
      <c r="G88" s="1">
        <v>0.0</v>
      </c>
      <c r="H88" s="1">
        <v>0.0</v>
      </c>
    </row>
    <row r="89">
      <c r="A89" s="2">
        <v>335.0</v>
      </c>
      <c r="B89" s="1" t="s">
        <v>63</v>
      </c>
      <c r="C89" s="1" t="s">
        <v>16</v>
      </c>
      <c r="D89" s="1" t="s">
        <v>17</v>
      </c>
      <c r="E89" s="1" t="s">
        <v>8</v>
      </c>
      <c r="F89" s="1">
        <v>0.011</v>
      </c>
      <c r="G89" s="1">
        <v>0.0</v>
      </c>
      <c r="H89" s="1">
        <v>0.011</v>
      </c>
    </row>
    <row r="90">
      <c r="A90" s="2" t="s">
        <v>64</v>
      </c>
      <c r="B90" s="1" t="s">
        <v>65</v>
      </c>
      <c r="C90" s="1" t="s">
        <v>12</v>
      </c>
      <c r="D90" s="1" t="s">
        <v>13</v>
      </c>
      <c r="E90" s="1" t="s">
        <v>8</v>
      </c>
      <c r="F90" s="1">
        <v>0.174</v>
      </c>
      <c r="G90" s="1">
        <v>0.015</v>
      </c>
      <c r="H90" s="1">
        <v>0.188</v>
      </c>
    </row>
    <row r="91">
      <c r="A91" s="2" t="s">
        <v>64</v>
      </c>
      <c r="B91" s="1" t="s">
        <v>65</v>
      </c>
      <c r="C91" s="1" t="s">
        <v>14</v>
      </c>
      <c r="D91" s="1" t="s">
        <v>13</v>
      </c>
      <c r="E91" s="1" t="s">
        <v>8</v>
      </c>
      <c r="F91" s="1">
        <v>0.001</v>
      </c>
      <c r="G91" s="1">
        <v>0.0</v>
      </c>
      <c r="H91" s="1">
        <v>0.001</v>
      </c>
    </row>
    <row r="92">
      <c r="A92" s="2" t="s">
        <v>64</v>
      </c>
      <c r="B92" s="1" t="s">
        <v>65</v>
      </c>
      <c r="C92" s="1" t="s">
        <v>15</v>
      </c>
      <c r="D92" s="1" t="s">
        <v>13</v>
      </c>
      <c r="E92" s="1" t="s">
        <v>8</v>
      </c>
      <c r="F92" s="1">
        <v>0.0</v>
      </c>
      <c r="G92" s="1">
        <v>0.0</v>
      </c>
      <c r="H92" s="1">
        <v>0.0</v>
      </c>
    </row>
    <row r="93">
      <c r="A93" s="2" t="s">
        <v>64</v>
      </c>
      <c r="B93" s="1" t="s">
        <v>65</v>
      </c>
      <c r="C93" s="1" t="s">
        <v>16</v>
      </c>
      <c r="D93" s="1" t="s">
        <v>17</v>
      </c>
      <c r="E93" s="1" t="s">
        <v>8</v>
      </c>
      <c r="F93" s="1">
        <v>0.019</v>
      </c>
      <c r="G93" s="1">
        <v>0.0</v>
      </c>
      <c r="H93" s="1">
        <v>0.019</v>
      </c>
    </row>
    <row r="94">
      <c r="A94" s="2" t="s">
        <v>66</v>
      </c>
      <c r="B94" s="1" t="s">
        <v>67</v>
      </c>
      <c r="C94" s="1" t="s">
        <v>12</v>
      </c>
      <c r="D94" s="1" t="s">
        <v>13</v>
      </c>
      <c r="E94" s="1" t="s">
        <v>8</v>
      </c>
      <c r="F94" s="1">
        <v>0.084</v>
      </c>
      <c r="G94" s="1">
        <v>0.006</v>
      </c>
      <c r="H94" s="1">
        <v>0.09</v>
      </c>
    </row>
    <row r="95">
      <c r="A95" s="2" t="s">
        <v>66</v>
      </c>
      <c r="B95" s="1" t="s">
        <v>67</v>
      </c>
      <c r="C95" s="1" t="s">
        <v>14</v>
      </c>
      <c r="D95" s="1" t="s">
        <v>13</v>
      </c>
      <c r="E95" s="1" t="s">
        <v>8</v>
      </c>
      <c r="F95" s="1">
        <v>0.0</v>
      </c>
      <c r="G95" s="1">
        <v>0.0</v>
      </c>
      <c r="H95" s="1">
        <v>0.0</v>
      </c>
    </row>
    <row r="96">
      <c r="A96" s="2" t="s">
        <v>66</v>
      </c>
      <c r="B96" s="1" t="s">
        <v>67</v>
      </c>
      <c r="C96" s="1" t="s">
        <v>15</v>
      </c>
      <c r="D96" s="1" t="s">
        <v>13</v>
      </c>
      <c r="E96" s="1" t="s">
        <v>8</v>
      </c>
      <c r="F96" s="1">
        <v>0.0</v>
      </c>
      <c r="G96" s="1">
        <v>0.0</v>
      </c>
      <c r="H96" s="1">
        <v>0.0</v>
      </c>
    </row>
    <row r="97">
      <c r="A97" s="2" t="s">
        <v>66</v>
      </c>
      <c r="B97" s="1" t="s">
        <v>67</v>
      </c>
      <c r="C97" s="1" t="s">
        <v>16</v>
      </c>
      <c r="D97" s="1" t="s">
        <v>17</v>
      </c>
      <c r="E97" s="1" t="s">
        <v>8</v>
      </c>
      <c r="F97" s="1">
        <v>0.005</v>
      </c>
      <c r="G97" s="1">
        <v>0.0</v>
      </c>
      <c r="H97" s="1">
        <v>0.005</v>
      </c>
    </row>
    <row r="98">
      <c r="A98" s="2">
        <v>337.0</v>
      </c>
      <c r="B98" s="1" t="s">
        <v>68</v>
      </c>
      <c r="C98" s="1" t="s">
        <v>12</v>
      </c>
      <c r="D98" s="1" t="s">
        <v>13</v>
      </c>
      <c r="E98" s="1" t="s">
        <v>8</v>
      </c>
      <c r="F98" s="1">
        <v>0.159</v>
      </c>
      <c r="G98" s="1">
        <v>0.087</v>
      </c>
      <c r="H98" s="1">
        <v>0.246</v>
      </c>
    </row>
    <row r="99">
      <c r="A99" s="2">
        <v>337.0</v>
      </c>
      <c r="B99" s="1" t="s">
        <v>68</v>
      </c>
      <c r="C99" s="1" t="s">
        <v>14</v>
      </c>
      <c r="D99" s="1" t="s">
        <v>13</v>
      </c>
      <c r="E99" s="1" t="s">
        <v>8</v>
      </c>
      <c r="F99" s="1">
        <v>0.001</v>
      </c>
      <c r="G99" s="1">
        <v>0.001</v>
      </c>
      <c r="H99" s="1">
        <v>0.001</v>
      </c>
    </row>
    <row r="100">
      <c r="A100" s="2">
        <v>337.0</v>
      </c>
      <c r="B100" s="1" t="s">
        <v>68</v>
      </c>
      <c r="C100" s="1" t="s">
        <v>15</v>
      </c>
      <c r="D100" s="1" t="s">
        <v>13</v>
      </c>
      <c r="E100" s="1" t="s">
        <v>8</v>
      </c>
      <c r="F100" s="1">
        <v>0.0</v>
      </c>
      <c r="G100" s="1">
        <v>0.0</v>
      </c>
      <c r="H100" s="1">
        <v>0.0</v>
      </c>
    </row>
    <row r="101">
      <c r="A101" s="2">
        <v>337.0</v>
      </c>
      <c r="B101" s="1" t="s">
        <v>68</v>
      </c>
      <c r="C101" s="1" t="s">
        <v>16</v>
      </c>
      <c r="D101" s="1" t="s">
        <v>17</v>
      </c>
      <c r="E101" s="1" t="s">
        <v>8</v>
      </c>
      <c r="F101" s="1">
        <v>0.021</v>
      </c>
      <c r="G101" s="1">
        <v>0.0</v>
      </c>
      <c r="H101" s="1">
        <v>0.021</v>
      </c>
    </row>
    <row r="102">
      <c r="A102" s="2">
        <v>339.0</v>
      </c>
      <c r="B102" s="1" t="s">
        <v>69</v>
      </c>
      <c r="C102" s="1" t="s">
        <v>12</v>
      </c>
      <c r="D102" s="1" t="s">
        <v>13</v>
      </c>
      <c r="E102" s="1" t="s">
        <v>8</v>
      </c>
      <c r="F102" s="1">
        <v>0.158</v>
      </c>
      <c r="G102" s="1">
        <v>0.069</v>
      </c>
      <c r="H102" s="1">
        <v>0.227</v>
      </c>
    </row>
    <row r="103">
      <c r="A103" s="2">
        <v>339.0</v>
      </c>
      <c r="B103" s="1" t="s">
        <v>69</v>
      </c>
      <c r="C103" s="1" t="s">
        <v>14</v>
      </c>
      <c r="D103" s="1" t="s">
        <v>13</v>
      </c>
      <c r="E103" s="1" t="s">
        <v>8</v>
      </c>
      <c r="F103" s="1">
        <v>0.001</v>
      </c>
      <c r="G103" s="1">
        <v>0.001</v>
      </c>
      <c r="H103" s="1">
        <v>0.001</v>
      </c>
    </row>
    <row r="104">
      <c r="A104" s="2">
        <v>339.0</v>
      </c>
      <c r="B104" s="1" t="s">
        <v>69</v>
      </c>
      <c r="C104" s="1" t="s">
        <v>15</v>
      </c>
      <c r="D104" s="1" t="s">
        <v>13</v>
      </c>
      <c r="E104" s="1" t="s">
        <v>8</v>
      </c>
      <c r="F104" s="1">
        <v>0.0</v>
      </c>
      <c r="G104" s="1">
        <v>0.0</v>
      </c>
      <c r="H104" s="1">
        <v>0.0</v>
      </c>
    </row>
    <row r="105">
      <c r="A105" s="2">
        <v>339.0</v>
      </c>
      <c r="B105" s="1" t="s">
        <v>69</v>
      </c>
      <c r="C105" s="1" t="s">
        <v>16</v>
      </c>
      <c r="D105" s="1" t="s">
        <v>17</v>
      </c>
      <c r="E105" s="1" t="s">
        <v>8</v>
      </c>
      <c r="F105" s="1">
        <v>0.005</v>
      </c>
      <c r="G105" s="1">
        <v>0.0</v>
      </c>
      <c r="H105" s="1">
        <v>0.005</v>
      </c>
    </row>
    <row r="106">
      <c r="A106" s="2">
        <v>42.0</v>
      </c>
      <c r="B106" s="1" t="s">
        <v>70</v>
      </c>
      <c r="C106" s="1" t="s">
        <v>12</v>
      </c>
      <c r="D106" s="1" t="s">
        <v>13</v>
      </c>
      <c r="E106" s="1" t="s">
        <v>8</v>
      </c>
      <c r="F106" s="1">
        <v>0.113</v>
      </c>
      <c r="G106" s="1">
        <v>0.0</v>
      </c>
      <c r="H106" s="1">
        <v>0.113</v>
      </c>
    </row>
    <row r="107">
      <c r="A107" s="2">
        <v>42.0</v>
      </c>
      <c r="B107" s="1" t="s">
        <v>70</v>
      </c>
      <c r="C107" s="1" t="s">
        <v>14</v>
      </c>
      <c r="D107" s="1" t="s">
        <v>13</v>
      </c>
      <c r="E107" s="1" t="s">
        <v>8</v>
      </c>
      <c r="F107" s="1">
        <v>0.001</v>
      </c>
      <c r="G107" s="1">
        <v>0.0</v>
      </c>
      <c r="H107" s="1">
        <v>0.001</v>
      </c>
    </row>
    <row r="108">
      <c r="A108" s="2">
        <v>42.0</v>
      </c>
      <c r="B108" s="1" t="s">
        <v>70</v>
      </c>
      <c r="C108" s="1" t="s">
        <v>15</v>
      </c>
      <c r="D108" s="1" t="s">
        <v>13</v>
      </c>
      <c r="E108" s="1" t="s">
        <v>8</v>
      </c>
      <c r="F108" s="1">
        <v>0.0</v>
      </c>
      <c r="G108" s="1">
        <v>0.0</v>
      </c>
      <c r="H108" s="1">
        <v>0.0</v>
      </c>
    </row>
    <row r="109">
      <c r="A109" s="2">
        <v>42.0</v>
      </c>
      <c r="B109" s="1" t="s">
        <v>70</v>
      </c>
      <c r="C109" s="1" t="s">
        <v>16</v>
      </c>
      <c r="D109" s="1" t="s">
        <v>17</v>
      </c>
      <c r="E109" s="1" t="s">
        <v>8</v>
      </c>
      <c r="F109" s="1">
        <v>0.003</v>
      </c>
      <c r="G109" s="1">
        <v>0.0</v>
      </c>
      <c r="H109" s="1">
        <v>0.003</v>
      </c>
    </row>
    <row r="110">
      <c r="A110" s="2">
        <v>441.0</v>
      </c>
      <c r="B110" s="1" t="s">
        <v>71</v>
      </c>
      <c r="C110" s="1" t="s">
        <v>12</v>
      </c>
      <c r="D110" s="1" t="s">
        <v>13</v>
      </c>
      <c r="E110" s="1" t="s">
        <v>8</v>
      </c>
      <c r="F110" s="1">
        <v>0.12</v>
      </c>
      <c r="G110" s="1">
        <v>0.0</v>
      </c>
      <c r="H110" s="1">
        <v>0.12</v>
      </c>
    </row>
    <row r="111">
      <c r="A111" s="2">
        <v>441.0</v>
      </c>
      <c r="B111" s="1" t="s">
        <v>71</v>
      </c>
      <c r="C111" s="1" t="s">
        <v>14</v>
      </c>
      <c r="D111" s="1" t="s">
        <v>13</v>
      </c>
      <c r="E111" s="1" t="s">
        <v>8</v>
      </c>
      <c r="F111" s="1">
        <v>0.001</v>
      </c>
      <c r="G111" s="1">
        <v>0.0</v>
      </c>
      <c r="H111" s="1">
        <v>0.001</v>
      </c>
    </row>
    <row r="112">
      <c r="A112" s="2">
        <v>441.0</v>
      </c>
      <c r="B112" s="1" t="s">
        <v>71</v>
      </c>
      <c r="C112" s="1" t="s">
        <v>15</v>
      </c>
      <c r="D112" s="1" t="s">
        <v>13</v>
      </c>
      <c r="E112" s="1" t="s">
        <v>8</v>
      </c>
      <c r="F112" s="1">
        <v>0.0</v>
      </c>
      <c r="G112" s="1">
        <v>0.0</v>
      </c>
      <c r="H112" s="1">
        <v>0.0</v>
      </c>
    </row>
    <row r="113">
      <c r="A113" s="2">
        <v>441.0</v>
      </c>
      <c r="B113" s="1" t="s">
        <v>71</v>
      </c>
      <c r="C113" s="1" t="s">
        <v>16</v>
      </c>
      <c r="D113" s="1" t="s">
        <v>17</v>
      </c>
      <c r="E113" s="1" t="s">
        <v>8</v>
      </c>
      <c r="F113" s="1">
        <v>0.002</v>
      </c>
      <c r="G113" s="1">
        <v>0.0</v>
      </c>
      <c r="H113" s="1">
        <v>0.002</v>
      </c>
    </row>
    <row r="114">
      <c r="A114" s="2">
        <v>445.0</v>
      </c>
      <c r="B114" s="1" t="s">
        <v>72</v>
      </c>
      <c r="C114" s="1" t="s">
        <v>12</v>
      </c>
      <c r="D114" s="1" t="s">
        <v>13</v>
      </c>
      <c r="E114" s="1" t="s">
        <v>8</v>
      </c>
      <c r="F114" s="1">
        <v>0.219</v>
      </c>
      <c r="G114" s="1">
        <v>0.0</v>
      </c>
      <c r="H114" s="1">
        <v>0.219</v>
      </c>
    </row>
    <row r="115">
      <c r="A115" s="2">
        <v>445.0</v>
      </c>
      <c r="B115" s="1" t="s">
        <v>72</v>
      </c>
      <c r="C115" s="1" t="s">
        <v>14</v>
      </c>
      <c r="D115" s="1" t="s">
        <v>13</v>
      </c>
      <c r="E115" s="1" t="s">
        <v>8</v>
      </c>
      <c r="F115" s="1">
        <v>0.001</v>
      </c>
      <c r="G115" s="1">
        <v>0.0</v>
      </c>
      <c r="H115" s="1">
        <v>0.001</v>
      </c>
    </row>
    <row r="116">
      <c r="A116" s="2">
        <v>445.0</v>
      </c>
      <c r="B116" s="1" t="s">
        <v>72</v>
      </c>
      <c r="C116" s="1" t="s">
        <v>15</v>
      </c>
      <c r="D116" s="1" t="s">
        <v>13</v>
      </c>
      <c r="E116" s="1" t="s">
        <v>8</v>
      </c>
      <c r="F116" s="1">
        <v>0.0</v>
      </c>
      <c r="G116" s="1">
        <v>0.0</v>
      </c>
      <c r="H116" s="1">
        <v>0.0</v>
      </c>
    </row>
    <row r="117">
      <c r="A117" s="2">
        <v>445.0</v>
      </c>
      <c r="B117" s="1" t="s">
        <v>72</v>
      </c>
      <c r="C117" s="1" t="s">
        <v>16</v>
      </c>
      <c r="D117" s="1" t="s">
        <v>17</v>
      </c>
      <c r="E117" s="1" t="s">
        <v>8</v>
      </c>
      <c r="F117" s="1">
        <v>0.004</v>
      </c>
      <c r="G117" s="1">
        <v>0.0</v>
      </c>
      <c r="H117" s="1">
        <v>0.004</v>
      </c>
    </row>
    <row r="118">
      <c r="A118" s="2">
        <v>452.0</v>
      </c>
      <c r="B118" s="1" t="s">
        <v>73</v>
      </c>
      <c r="C118" s="1" t="s">
        <v>12</v>
      </c>
      <c r="D118" s="1" t="s">
        <v>13</v>
      </c>
      <c r="E118" s="1" t="s">
        <v>8</v>
      </c>
      <c r="F118" s="1">
        <v>0.15</v>
      </c>
      <c r="G118" s="1">
        <v>0.0</v>
      </c>
      <c r="H118" s="1">
        <v>0.15</v>
      </c>
    </row>
    <row r="119">
      <c r="A119" s="2">
        <v>452.0</v>
      </c>
      <c r="B119" s="1" t="s">
        <v>73</v>
      </c>
      <c r="C119" s="1" t="s">
        <v>14</v>
      </c>
      <c r="D119" s="1" t="s">
        <v>13</v>
      </c>
      <c r="E119" s="1" t="s">
        <v>8</v>
      </c>
      <c r="F119" s="1">
        <v>0.001</v>
      </c>
      <c r="G119" s="1">
        <v>0.0</v>
      </c>
      <c r="H119" s="1">
        <v>0.001</v>
      </c>
    </row>
    <row r="120">
      <c r="A120" s="2">
        <v>452.0</v>
      </c>
      <c r="B120" s="1" t="s">
        <v>73</v>
      </c>
      <c r="C120" s="1" t="s">
        <v>15</v>
      </c>
      <c r="D120" s="1" t="s">
        <v>13</v>
      </c>
      <c r="E120" s="1" t="s">
        <v>8</v>
      </c>
      <c r="F120" s="1">
        <v>0.0</v>
      </c>
      <c r="G120" s="1">
        <v>0.0</v>
      </c>
      <c r="H120" s="1">
        <v>0.0</v>
      </c>
    </row>
    <row r="121">
      <c r="A121" s="2">
        <v>452.0</v>
      </c>
      <c r="B121" s="1" t="s">
        <v>73</v>
      </c>
      <c r="C121" s="1" t="s">
        <v>16</v>
      </c>
      <c r="D121" s="1" t="s">
        <v>17</v>
      </c>
      <c r="E121" s="1" t="s">
        <v>8</v>
      </c>
      <c r="F121" s="1">
        <v>0.002</v>
      </c>
      <c r="G121" s="1">
        <v>0.0</v>
      </c>
      <c r="H121" s="1">
        <v>0.002</v>
      </c>
    </row>
    <row r="122">
      <c r="A122" s="2">
        <v>481.0</v>
      </c>
      <c r="B122" s="1" t="s">
        <v>74</v>
      </c>
      <c r="C122" s="1" t="s">
        <v>12</v>
      </c>
      <c r="D122" s="1" t="s">
        <v>13</v>
      </c>
      <c r="E122" s="1" t="s">
        <v>8</v>
      </c>
      <c r="F122" s="1">
        <v>0.871</v>
      </c>
      <c r="G122" s="1">
        <v>0.0</v>
      </c>
      <c r="H122" s="1">
        <v>0.871</v>
      </c>
    </row>
    <row r="123">
      <c r="A123" s="2">
        <v>481.0</v>
      </c>
      <c r="B123" s="1" t="s">
        <v>74</v>
      </c>
      <c r="C123" s="1" t="s">
        <v>14</v>
      </c>
      <c r="D123" s="1" t="s">
        <v>13</v>
      </c>
      <c r="E123" s="1" t="s">
        <v>8</v>
      </c>
      <c r="F123" s="1">
        <v>0.002</v>
      </c>
      <c r="G123" s="1">
        <v>0.0</v>
      </c>
      <c r="H123" s="1">
        <v>0.002</v>
      </c>
    </row>
    <row r="124">
      <c r="A124" s="2">
        <v>481.0</v>
      </c>
      <c r="B124" s="1" t="s">
        <v>74</v>
      </c>
      <c r="C124" s="1" t="s">
        <v>15</v>
      </c>
      <c r="D124" s="1" t="s">
        <v>13</v>
      </c>
      <c r="E124" s="1" t="s">
        <v>8</v>
      </c>
      <c r="F124" s="1">
        <v>0.0</v>
      </c>
      <c r="G124" s="1">
        <v>0.0</v>
      </c>
      <c r="H124" s="1">
        <v>0.0</v>
      </c>
    </row>
    <row r="125">
      <c r="A125" s="2">
        <v>481.0</v>
      </c>
      <c r="B125" s="1" t="s">
        <v>74</v>
      </c>
      <c r="C125" s="1" t="s">
        <v>16</v>
      </c>
      <c r="D125" s="1" t="s">
        <v>17</v>
      </c>
      <c r="E125" s="1" t="s">
        <v>8</v>
      </c>
      <c r="F125" s="1">
        <v>0.002</v>
      </c>
      <c r="G125" s="1">
        <v>0.0</v>
      </c>
      <c r="H125" s="1">
        <v>0.002</v>
      </c>
    </row>
    <row r="126">
      <c r="A126" s="2">
        <v>482.0</v>
      </c>
      <c r="B126" s="1" t="s">
        <v>75</v>
      </c>
      <c r="C126" s="1" t="s">
        <v>12</v>
      </c>
      <c r="D126" s="1" t="s">
        <v>13</v>
      </c>
      <c r="E126" s="1" t="s">
        <v>8</v>
      </c>
      <c r="F126" s="1">
        <v>0.693</v>
      </c>
      <c r="G126" s="1">
        <v>0.0</v>
      </c>
      <c r="H126" s="1">
        <v>0.693</v>
      </c>
    </row>
    <row r="127">
      <c r="A127" s="2">
        <v>482.0</v>
      </c>
      <c r="B127" s="1" t="s">
        <v>75</v>
      </c>
      <c r="C127" s="1" t="s">
        <v>14</v>
      </c>
      <c r="D127" s="1" t="s">
        <v>13</v>
      </c>
      <c r="E127" s="1" t="s">
        <v>8</v>
      </c>
      <c r="F127" s="1">
        <v>0.001</v>
      </c>
      <c r="G127" s="1">
        <v>0.0</v>
      </c>
      <c r="H127" s="1">
        <v>0.001</v>
      </c>
    </row>
    <row r="128">
      <c r="A128" s="2">
        <v>482.0</v>
      </c>
      <c r="B128" s="1" t="s">
        <v>75</v>
      </c>
      <c r="C128" s="1" t="s">
        <v>15</v>
      </c>
      <c r="D128" s="1" t="s">
        <v>13</v>
      </c>
      <c r="E128" s="1" t="s">
        <v>8</v>
      </c>
      <c r="F128" s="1">
        <v>0.0</v>
      </c>
      <c r="G128" s="1">
        <v>0.0</v>
      </c>
      <c r="H128" s="1">
        <v>0.0</v>
      </c>
    </row>
    <row r="129">
      <c r="A129" s="2">
        <v>482.0</v>
      </c>
      <c r="B129" s="1" t="s">
        <v>75</v>
      </c>
      <c r="C129" s="1" t="s">
        <v>16</v>
      </c>
      <c r="D129" s="1" t="s">
        <v>17</v>
      </c>
      <c r="E129" s="1" t="s">
        <v>8</v>
      </c>
      <c r="F129" s="1">
        <v>0.004</v>
      </c>
      <c r="G129" s="1">
        <v>0.0</v>
      </c>
      <c r="H129" s="1">
        <v>0.004</v>
      </c>
    </row>
    <row r="130">
      <c r="A130" s="2">
        <v>483.0</v>
      </c>
      <c r="B130" s="1" t="s">
        <v>76</v>
      </c>
      <c r="C130" s="1" t="s">
        <v>12</v>
      </c>
      <c r="D130" s="1" t="s">
        <v>13</v>
      </c>
      <c r="E130" s="1" t="s">
        <v>8</v>
      </c>
      <c r="F130" s="1">
        <v>0.635</v>
      </c>
      <c r="G130" s="1">
        <v>0.0</v>
      </c>
      <c r="H130" s="1">
        <v>0.635</v>
      </c>
    </row>
    <row r="131">
      <c r="A131" s="2">
        <v>483.0</v>
      </c>
      <c r="B131" s="1" t="s">
        <v>76</v>
      </c>
      <c r="C131" s="1" t="s">
        <v>14</v>
      </c>
      <c r="D131" s="1" t="s">
        <v>13</v>
      </c>
      <c r="E131" s="1" t="s">
        <v>8</v>
      </c>
      <c r="F131" s="1">
        <v>0.002</v>
      </c>
      <c r="G131" s="1">
        <v>0.0</v>
      </c>
      <c r="H131" s="1">
        <v>0.002</v>
      </c>
    </row>
    <row r="132">
      <c r="A132" s="2">
        <v>483.0</v>
      </c>
      <c r="B132" s="1" t="s">
        <v>76</v>
      </c>
      <c r="C132" s="1" t="s">
        <v>15</v>
      </c>
      <c r="D132" s="1" t="s">
        <v>13</v>
      </c>
      <c r="E132" s="1" t="s">
        <v>8</v>
      </c>
      <c r="F132" s="1">
        <v>0.0</v>
      </c>
      <c r="G132" s="1">
        <v>0.0</v>
      </c>
      <c r="H132" s="1">
        <v>0.0</v>
      </c>
    </row>
    <row r="133">
      <c r="A133" s="2">
        <v>483.0</v>
      </c>
      <c r="B133" s="1" t="s">
        <v>76</v>
      </c>
      <c r="C133" s="1" t="s">
        <v>16</v>
      </c>
      <c r="D133" s="1" t="s">
        <v>17</v>
      </c>
      <c r="E133" s="1" t="s">
        <v>8</v>
      </c>
      <c r="F133" s="1">
        <v>0.057</v>
      </c>
      <c r="G133" s="1">
        <v>0.0</v>
      </c>
      <c r="H133" s="1">
        <v>0.057</v>
      </c>
    </row>
    <row r="134">
      <c r="A134" s="2">
        <v>484.0</v>
      </c>
      <c r="B134" s="1" t="s">
        <v>77</v>
      </c>
      <c r="C134" s="1" t="s">
        <v>12</v>
      </c>
      <c r="D134" s="1" t="s">
        <v>13</v>
      </c>
      <c r="E134" s="1" t="s">
        <v>8</v>
      </c>
      <c r="F134" s="1">
        <v>1.318</v>
      </c>
      <c r="G134" s="1">
        <v>0.0</v>
      </c>
      <c r="H134" s="1">
        <v>1.318</v>
      </c>
    </row>
    <row r="135">
      <c r="A135" s="2">
        <v>484.0</v>
      </c>
      <c r="B135" s="1" t="s">
        <v>77</v>
      </c>
      <c r="C135" s="1" t="s">
        <v>14</v>
      </c>
      <c r="D135" s="1" t="s">
        <v>13</v>
      </c>
      <c r="E135" s="1" t="s">
        <v>8</v>
      </c>
      <c r="F135" s="1">
        <v>0.002</v>
      </c>
      <c r="G135" s="1">
        <v>0.0</v>
      </c>
      <c r="H135" s="1">
        <v>0.002</v>
      </c>
    </row>
    <row r="136">
      <c r="A136" s="2">
        <v>484.0</v>
      </c>
      <c r="B136" s="1" t="s">
        <v>77</v>
      </c>
      <c r="C136" s="1" t="s">
        <v>15</v>
      </c>
      <c r="D136" s="1" t="s">
        <v>13</v>
      </c>
      <c r="E136" s="1" t="s">
        <v>8</v>
      </c>
      <c r="F136" s="1">
        <v>0.0</v>
      </c>
      <c r="G136" s="1">
        <v>0.0</v>
      </c>
      <c r="H136" s="1">
        <v>0.0</v>
      </c>
    </row>
    <row r="137">
      <c r="A137" s="2">
        <v>484.0</v>
      </c>
      <c r="B137" s="1" t="s">
        <v>77</v>
      </c>
      <c r="C137" s="1" t="s">
        <v>16</v>
      </c>
      <c r="D137" s="1" t="s">
        <v>17</v>
      </c>
      <c r="E137" s="1" t="s">
        <v>8</v>
      </c>
      <c r="F137" s="1">
        <v>0.021</v>
      </c>
      <c r="G137" s="1">
        <v>0.0</v>
      </c>
      <c r="H137" s="1">
        <v>0.021</v>
      </c>
    </row>
    <row r="138">
      <c r="A138" s="2">
        <v>485.0</v>
      </c>
      <c r="B138" s="1" t="s">
        <v>78</v>
      </c>
      <c r="C138" s="1" t="s">
        <v>12</v>
      </c>
      <c r="D138" s="1" t="s">
        <v>13</v>
      </c>
      <c r="E138" s="1" t="s">
        <v>8</v>
      </c>
      <c r="F138" s="1">
        <v>0.312</v>
      </c>
      <c r="G138" s="1">
        <v>0.0</v>
      </c>
      <c r="H138" s="1">
        <v>0.312</v>
      </c>
    </row>
    <row r="139">
      <c r="A139" s="2">
        <v>485.0</v>
      </c>
      <c r="B139" s="1" t="s">
        <v>78</v>
      </c>
      <c r="C139" s="1" t="s">
        <v>14</v>
      </c>
      <c r="D139" s="1" t="s">
        <v>13</v>
      </c>
      <c r="E139" s="1" t="s">
        <v>8</v>
      </c>
      <c r="F139" s="1">
        <v>0.001</v>
      </c>
      <c r="G139" s="1">
        <v>0.0</v>
      </c>
      <c r="H139" s="1">
        <v>0.001</v>
      </c>
    </row>
    <row r="140">
      <c r="A140" s="2">
        <v>485.0</v>
      </c>
      <c r="B140" s="1" t="s">
        <v>78</v>
      </c>
      <c r="C140" s="1" t="s">
        <v>15</v>
      </c>
      <c r="D140" s="1" t="s">
        <v>13</v>
      </c>
      <c r="E140" s="1" t="s">
        <v>8</v>
      </c>
      <c r="F140" s="1">
        <v>0.0</v>
      </c>
      <c r="G140" s="1">
        <v>0.0</v>
      </c>
      <c r="H140" s="1">
        <v>0.0</v>
      </c>
    </row>
    <row r="141">
      <c r="A141" s="2">
        <v>485.0</v>
      </c>
      <c r="B141" s="1" t="s">
        <v>78</v>
      </c>
      <c r="C141" s="1" t="s">
        <v>16</v>
      </c>
      <c r="D141" s="1" t="s">
        <v>17</v>
      </c>
      <c r="E141" s="1" t="s">
        <v>8</v>
      </c>
      <c r="F141" s="1">
        <v>0.006</v>
      </c>
      <c r="G141" s="1">
        <v>0.0</v>
      </c>
      <c r="H141" s="1">
        <v>0.006</v>
      </c>
    </row>
    <row r="142">
      <c r="A142" s="2">
        <v>486.0</v>
      </c>
      <c r="B142" s="1" t="s">
        <v>79</v>
      </c>
      <c r="C142" s="1" t="s">
        <v>12</v>
      </c>
      <c r="D142" s="1" t="s">
        <v>13</v>
      </c>
      <c r="E142" s="1" t="s">
        <v>8</v>
      </c>
      <c r="F142" s="1">
        <v>1.08</v>
      </c>
      <c r="G142" s="1">
        <v>0.0</v>
      </c>
      <c r="H142" s="1">
        <v>1.08</v>
      </c>
    </row>
    <row r="143">
      <c r="A143" s="2">
        <v>486.0</v>
      </c>
      <c r="B143" s="1" t="s">
        <v>79</v>
      </c>
      <c r="C143" s="1" t="s">
        <v>14</v>
      </c>
      <c r="D143" s="1" t="s">
        <v>13</v>
      </c>
      <c r="E143" s="1" t="s">
        <v>8</v>
      </c>
      <c r="F143" s="1">
        <v>0.028</v>
      </c>
      <c r="G143" s="1">
        <v>0.0</v>
      </c>
      <c r="H143" s="1">
        <v>0.028</v>
      </c>
    </row>
    <row r="144">
      <c r="A144" s="2">
        <v>486.0</v>
      </c>
      <c r="B144" s="1" t="s">
        <v>79</v>
      </c>
      <c r="C144" s="1" t="s">
        <v>15</v>
      </c>
      <c r="D144" s="1" t="s">
        <v>13</v>
      </c>
      <c r="E144" s="1" t="s">
        <v>8</v>
      </c>
      <c r="F144" s="1">
        <v>0.0</v>
      </c>
      <c r="G144" s="1">
        <v>0.0</v>
      </c>
      <c r="H144" s="1">
        <v>0.0</v>
      </c>
    </row>
    <row r="145">
      <c r="A145" s="2">
        <v>486.0</v>
      </c>
      <c r="B145" s="1" t="s">
        <v>79</v>
      </c>
      <c r="C145" s="1" t="s">
        <v>16</v>
      </c>
      <c r="D145" s="1" t="s">
        <v>17</v>
      </c>
      <c r="E145" s="1" t="s">
        <v>8</v>
      </c>
      <c r="F145" s="1">
        <v>0.011</v>
      </c>
      <c r="G145" s="1">
        <v>0.0</v>
      </c>
      <c r="H145" s="1">
        <v>0.011</v>
      </c>
    </row>
    <row r="146">
      <c r="A146" s="2" t="s">
        <v>80</v>
      </c>
      <c r="B146" s="1" t="s">
        <v>81</v>
      </c>
      <c r="C146" s="1" t="s">
        <v>12</v>
      </c>
      <c r="D146" s="1" t="s">
        <v>13</v>
      </c>
      <c r="E146" s="1" t="s">
        <v>8</v>
      </c>
      <c r="F146" s="1">
        <v>0.371</v>
      </c>
      <c r="G146" s="1">
        <v>0.0</v>
      </c>
      <c r="H146" s="1">
        <v>0.371</v>
      </c>
    </row>
    <row r="147">
      <c r="A147" s="2" t="s">
        <v>80</v>
      </c>
      <c r="B147" s="1" t="s">
        <v>81</v>
      </c>
      <c r="C147" s="1" t="s">
        <v>14</v>
      </c>
      <c r="D147" s="1" t="s">
        <v>13</v>
      </c>
      <c r="E147" s="1" t="s">
        <v>8</v>
      </c>
      <c r="F147" s="1">
        <v>0.002</v>
      </c>
      <c r="G147" s="1">
        <v>0.0</v>
      </c>
      <c r="H147" s="1">
        <v>0.002</v>
      </c>
    </row>
    <row r="148">
      <c r="A148" s="2" t="s">
        <v>80</v>
      </c>
      <c r="B148" s="1" t="s">
        <v>81</v>
      </c>
      <c r="C148" s="1" t="s">
        <v>15</v>
      </c>
      <c r="D148" s="1" t="s">
        <v>13</v>
      </c>
      <c r="E148" s="1" t="s">
        <v>8</v>
      </c>
      <c r="F148" s="1">
        <v>0.0</v>
      </c>
      <c r="G148" s="1">
        <v>0.0</v>
      </c>
      <c r="H148" s="1">
        <v>0.0</v>
      </c>
    </row>
    <row r="149">
      <c r="A149" s="2" t="s">
        <v>80</v>
      </c>
      <c r="B149" s="1" t="s">
        <v>81</v>
      </c>
      <c r="C149" s="1" t="s">
        <v>16</v>
      </c>
      <c r="D149" s="1" t="s">
        <v>17</v>
      </c>
      <c r="E149" s="1" t="s">
        <v>8</v>
      </c>
      <c r="F149" s="1">
        <v>0.005</v>
      </c>
      <c r="G149" s="1">
        <v>0.0</v>
      </c>
      <c r="H149" s="1">
        <v>0.005</v>
      </c>
    </row>
    <row r="150">
      <c r="A150" s="2">
        <v>493.0</v>
      </c>
      <c r="B150" s="1" t="s">
        <v>82</v>
      </c>
      <c r="C150" s="1" t="s">
        <v>12</v>
      </c>
      <c r="D150" s="1" t="s">
        <v>13</v>
      </c>
      <c r="E150" s="1" t="s">
        <v>8</v>
      </c>
      <c r="F150" s="1">
        <v>0.426</v>
      </c>
      <c r="G150" s="1">
        <v>0.0</v>
      </c>
      <c r="H150" s="1">
        <v>0.426</v>
      </c>
    </row>
    <row r="151">
      <c r="A151" s="2">
        <v>493.0</v>
      </c>
      <c r="B151" s="1" t="s">
        <v>82</v>
      </c>
      <c r="C151" s="1" t="s">
        <v>14</v>
      </c>
      <c r="D151" s="1" t="s">
        <v>13</v>
      </c>
      <c r="E151" s="1" t="s">
        <v>8</v>
      </c>
      <c r="F151" s="1">
        <v>0.001</v>
      </c>
      <c r="G151" s="1">
        <v>0.0</v>
      </c>
      <c r="H151" s="1">
        <v>0.001</v>
      </c>
    </row>
    <row r="152">
      <c r="A152" s="2">
        <v>493.0</v>
      </c>
      <c r="B152" s="1" t="s">
        <v>82</v>
      </c>
      <c r="C152" s="1" t="s">
        <v>15</v>
      </c>
      <c r="D152" s="1" t="s">
        <v>13</v>
      </c>
      <c r="E152" s="1" t="s">
        <v>8</v>
      </c>
      <c r="F152" s="1">
        <v>0.0</v>
      </c>
      <c r="G152" s="1">
        <v>0.0</v>
      </c>
      <c r="H152" s="1">
        <v>0.0</v>
      </c>
    </row>
    <row r="153">
      <c r="A153" s="2">
        <v>493.0</v>
      </c>
      <c r="B153" s="1" t="s">
        <v>82</v>
      </c>
      <c r="C153" s="1" t="s">
        <v>16</v>
      </c>
      <c r="D153" s="1" t="s">
        <v>17</v>
      </c>
      <c r="E153" s="1" t="s">
        <v>8</v>
      </c>
      <c r="F153" s="1">
        <v>0.004</v>
      </c>
      <c r="G153" s="1">
        <v>0.0</v>
      </c>
      <c r="H153" s="1">
        <v>0.004</v>
      </c>
    </row>
    <row r="154">
      <c r="A154" s="2" t="s">
        <v>83</v>
      </c>
      <c r="B154" s="1" t="s">
        <v>84</v>
      </c>
      <c r="C154" s="1" t="s">
        <v>12</v>
      </c>
      <c r="D154" s="1" t="s">
        <v>13</v>
      </c>
      <c r="E154" s="1" t="s">
        <v>8</v>
      </c>
      <c r="F154" s="1">
        <v>0.147</v>
      </c>
      <c r="G154" s="1">
        <v>0.0</v>
      </c>
      <c r="H154" s="1">
        <v>0.147</v>
      </c>
    </row>
    <row r="155">
      <c r="A155" s="2" t="s">
        <v>83</v>
      </c>
      <c r="B155" s="1" t="s">
        <v>84</v>
      </c>
      <c r="C155" s="1" t="s">
        <v>14</v>
      </c>
      <c r="D155" s="1" t="s">
        <v>13</v>
      </c>
      <c r="E155" s="1" t="s">
        <v>8</v>
      </c>
      <c r="F155" s="1">
        <v>0.001</v>
      </c>
      <c r="G155" s="1">
        <v>0.0</v>
      </c>
      <c r="H155" s="1">
        <v>0.001</v>
      </c>
    </row>
    <row r="156">
      <c r="A156" s="2" t="s">
        <v>83</v>
      </c>
      <c r="B156" s="1" t="s">
        <v>84</v>
      </c>
      <c r="C156" s="1" t="s">
        <v>15</v>
      </c>
      <c r="D156" s="1" t="s">
        <v>13</v>
      </c>
      <c r="E156" s="1" t="s">
        <v>8</v>
      </c>
      <c r="F156" s="1">
        <v>0.0</v>
      </c>
      <c r="G156" s="1">
        <v>0.0</v>
      </c>
      <c r="H156" s="1">
        <v>0.0</v>
      </c>
    </row>
    <row r="157">
      <c r="A157" s="2" t="s">
        <v>83</v>
      </c>
      <c r="B157" s="1" t="s">
        <v>84</v>
      </c>
      <c r="C157" s="1" t="s">
        <v>16</v>
      </c>
      <c r="D157" s="1" t="s">
        <v>17</v>
      </c>
      <c r="E157" s="1" t="s">
        <v>8</v>
      </c>
      <c r="F157" s="1">
        <v>0.003</v>
      </c>
      <c r="G157" s="1">
        <v>0.0</v>
      </c>
      <c r="H157" s="1">
        <v>0.003</v>
      </c>
    </row>
    <row r="158">
      <c r="A158" s="2">
        <v>511.0</v>
      </c>
      <c r="B158" s="1" t="s">
        <v>85</v>
      </c>
      <c r="C158" s="1" t="s">
        <v>12</v>
      </c>
      <c r="D158" s="1" t="s">
        <v>13</v>
      </c>
      <c r="E158" s="1" t="s">
        <v>8</v>
      </c>
      <c r="F158" s="1">
        <v>0.043</v>
      </c>
      <c r="G158" s="1">
        <v>0.012</v>
      </c>
      <c r="H158" s="1">
        <v>0.055</v>
      </c>
    </row>
    <row r="159">
      <c r="A159" s="2">
        <v>511.0</v>
      </c>
      <c r="B159" s="1" t="s">
        <v>85</v>
      </c>
      <c r="C159" s="1" t="s">
        <v>14</v>
      </c>
      <c r="D159" s="1" t="s">
        <v>13</v>
      </c>
      <c r="E159" s="1" t="s">
        <v>8</v>
      </c>
      <c r="F159" s="1">
        <v>0.0</v>
      </c>
      <c r="G159" s="1">
        <v>0.0</v>
      </c>
      <c r="H159" s="1">
        <v>0.0</v>
      </c>
    </row>
    <row r="160">
      <c r="A160" s="2">
        <v>511.0</v>
      </c>
      <c r="B160" s="1" t="s">
        <v>85</v>
      </c>
      <c r="C160" s="1" t="s">
        <v>15</v>
      </c>
      <c r="D160" s="1" t="s">
        <v>13</v>
      </c>
      <c r="E160" s="1" t="s">
        <v>8</v>
      </c>
      <c r="F160" s="1">
        <v>0.0</v>
      </c>
      <c r="G160" s="1">
        <v>0.0</v>
      </c>
      <c r="H160" s="1">
        <v>0.0</v>
      </c>
    </row>
    <row r="161">
      <c r="A161" s="2">
        <v>511.0</v>
      </c>
      <c r="B161" s="1" t="s">
        <v>85</v>
      </c>
      <c r="C161" s="1" t="s">
        <v>16</v>
      </c>
      <c r="D161" s="1" t="s">
        <v>17</v>
      </c>
      <c r="E161" s="1" t="s">
        <v>8</v>
      </c>
      <c r="F161" s="1">
        <v>0.002</v>
      </c>
      <c r="G161" s="1">
        <v>0.0</v>
      </c>
      <c r="H161" s="1">
        <v>0.002</v>
      </c>
    </row>
    <row r="162">
      <c r="A162" s="2">
        <v>512.0</v>
      </c>
      <c r="B162" s="1" t="s">
        <v>86</v>
      </c>
      <c r="C162" s="1" t="s">
        <v>12</v>
      </c>
      <c r="D162" s="1" t="s">
        <v>13</v>
      </c>
      <c r="E162" s="1" t="s">
        <v>8</v>
      </c>
      <c r="F162" s="1">
        <v>0.052</v>
      </c>
      <c r="G162" s="1">
        <v>0.002</v>
      </c>
      <c r="H162" s="1">
        <v>0.055</v>
      </c>
    </row>
    <row r="163">
      <c r="A163" s="2">
        <v>512.0</v>
      </c>
      <c r="B163" s="1" t="s">
        <v>86</v>
      </c>
      <c r="C163" s="1" t="s">
        <v>14</v>
      </c>
      <c r="D163" s="1" t="s">
        <v>13</v>
      </c>
      <c r="E163" s="1" t="s">
        <v>8</v>
      </c>
      <c r="F163" s="1">
        <v>0.0</v>
      </c>
      <c r="G163" s="1">
        <v>0.0</v>
      </c>
      <c r="H163" s="1">
        <v>0.0</v>
      </c>
    </row>
    <row r="164">
      <c r="A164" s="2">
        <v>512.0</v>
      </c>
      <c r="B164" s="1" t="s">
        <v>86</v>
      </c>
      <c r="C164" s="1" t="s">
        <v>15</v>
      </c>
      <c r="D164" s="1" t="s">
        <v>13</v>
      </c>
      <c r="E164" s="1" t="s">
        <v>8</v>
      </c>
      <c r="F164" s="1">
        <v>0.0</v>
      </c>
      <c r="G164" s="1">
        <v>0.0</v>
      </c>
      <c r="H164" s="1">
        <v>0.0</v>
      </c>
    </row>
    <row r="165">
      <c r="A165" s="2">
        <v>512.0</v>
      </c>
      <c r="B165" s="1" t="s">
        <v>86</v>
      </c>
      <c r="C165" s="1" t="s">
        <v>16</v>
      </c>
      <c r="D165" s="1" t="s">
        <v>17</v>
      </c>
      <c r="E165" s="1" t="s">
        <v>8</v>
      </c>
      <c r="F165" s="1">
        <v>0.001</v>
      </c>
      <c r="G165" s="1">
        <v>0.0</v>
      </c>
      <c r="H165" s="1">
        <v>0.001</v>
      </c>
    </row>
    <row r="166">
      <c r="A166" s="2">
        <v>513.0</v>
      </c>
      <c r="B166" s="1" t="s">
        <v>87</v>
      </c>
      <c r="C166" s="1" t="s">
        <v>12</v>
      </c>
      <c r="D166" s="1" t="s">
        <v>13</v>
      </c>
      <c r="E166" s="1" t="s">
        <v>8</v>
      </c>
      <c r="F166" s="1">
        <v>0.078</v>
      </c>
      <c r="G166" s="1">
        <v>0.0</v>
      </c>
      <c r="H166" s="1">
        <v>0.078</v>
      </c>
    </row>
    <row r="167">
      <c r="A167" s="2">
        <v>513.0</v>
      </c>
      <c r="B167" s="1" t="s">
        <v>87</v>
      </c>
      <c r="C167" s="1" t="s">
        <v>14</v>
      </c>
      <c r="D167" s="1" t="s">
        <v>13</v>
      </c>
      <c r="E167" s="1" t="s">
        <v>8</v>
      </c>
      <c r="F167" s="1">
        <v>0.0</v>
      </c>
      <c r="G167" s="1">
        <v>0.0</v>
      </c>
      <c r="H167" s="1">
        <v>0.0</v>
      </c>
    </row>
    <row r="168">
      <c r="A168" s="2">
        <v>513.0</v>
      </c>
      <c r="B168" s="1" t="s">
        <v>87</v>
      </c>
      <c r="C168" s="1" t="s">
        <v>15</v>
      </c>
      <c r="D168" s="1" t="s">
        <v>13</v>
      </c>
      <c r="E168" s="1" t="s">
        <v>8</v>
      </c>
      <c r="F168" s="1">
        <v>0.0</v>
      </c>
      <c r="G168" s="1">
        <v>0.0</v>
      </c>
      <c r="H168" s="1">
        <v>0.0</v>
      </c>
    </row>
    <row r="169">
      <c r="A169" s="2">
        <v>513.0</v>
      </c>
      <c r="B169" s="1" t="s">
        <v>87</v>
      </c>
      <c r="C169" s="1" t="s">
        <v>16</v>
      </c>
      <c r="D169" s="1" t="s">
        <v>17</v>
      </c>
      <c r="E169" s="1" t="s">
        <v>8</v>
      </c>
      <c r="F169" s="1">
        <v>0.006</v>
      </c>
      <c r="G169" s="1">
        <v>0.0</v>
      </c>
      <c r="H169" s="1">
        <v>0.006</v>
      </c>
    </row>
    <row r="170">
      <c r="A170" s="2">
        <v>514.0</v>
      </c>
      <c r="B170" s="1" t="s">
        <v>88</v>
      </c>
      <c r="C170" s="1" t="s">
        <v>12</v>
      </c>
      <c r="D170" s="1" t="s">
        <v>13</v>
      </c>
      <c r="E170" s="1" t="s">
        <v>8</v>
      </c>
      <c r="F170" s="1">
        <v>0.081</v>
      </c>
      <c r="G170" s="1">
        <v>0.0</v>
      </c>
      <c r="H170" s="1">
        <v>0.081</v>
      </c>
    </row>
    <row r="171">
      <c r="A171" s="2">
        <v>514.0</v>
      </c>
      <c r="B171" s="1" t="s">
        <v>88</v>
      </c>
      <c r="C171" s="1" t="s">
        <v>14</v>
      </c>
      <c r="D171" s="1" t="s">
        <v>13</v>
      </c>
      <c r="E171" s="1" t="s">
        <v>8</v>
      </c>
      <c r="F171" s="1">
        <v>0.0</v>
      </c>
      <c r="G171" s="1">
        <v>0.0</v>
      </c>
      <c r="H171" s="1">
        <v>0.0</v>
      </c>
    </row>
    <row r="172">
      <c r="A172" s="2">
        <v>514.0</v>
      </c>
      <c r="B172" s="1" t="s">
        <v>88</v>
      </c>
      <c r="C172" s="1" t="s">
        <v>15</v>
      </c>
      <c r="D172" s="1" t="s">
        <v>13</v>
      </c>
      <c r="E172" s="1" t="s">
        <v>8</v>
      </c>
      <c r="F172" s="1">
        <v>0.0</v>
      </c>
      <c r="G172" s="1">
        <v>0.0</v>
      </c>
      <c r="H172" s="1">
        <v>0.0</v>
      </c>
    </row>
    <row r="173">
      <c r="A173" s="2">
        <v>514.0</v>
      </c>
      <c r="B173" s="1" t="s">
        <v>88</v>
      </c>
      <c r="C173" s="1" t="s">
        <v>16</v>
      </c>
      <c r="D173" s="1" t="s">
        <v>17</v>
      </c>
      <c r="E173" s="1" t="s">
        <v>8</v>
      </c>
      <c r="F173" s="1">
        <v>0.004</v>
      </c>
      <c r="G173" s="1">
        <v>0.0</v>
      </c>
      <c r="H173" s="1">
        <v>0.004</v>
      </c>
    </row>
    <row r="174">
      <c r="A174" s="2" t="s">
        <v>89</v>
      </c>
      <c r="B174" s="1" t="s">
        <v>90</v>
      </c>
      <c r="C174" s="1" t="s">
        <v>12</v>
      </c>
      <c r="D174" s="1" t="s">
        <v>13</v>
      </c>
      <c r="E174" s="1" t="s">
        <v>8</v>
      </c>
      <c r="F174" s="1">
        <v>0.069</v>
      </c>
      <c r="G174" s="1">
        <v>0.0</v>
      </c>
      <c r="H174" s="1">
        <v>0.069</v>
      </c>
    </row>
    <row r="175">
      <c r="A175" s="2" t="s">
        <v>89</v>
      </c>
      <c r="B175" s="1" t="s">
        <v>90</v>
      </c>
      <c r="C175" s="1" t="s">
        <v>14</v>
      </c>
      <c r="D175" s="1" t="s">
        <v>13</v>
      </c>
      <c r="E175" s="1" t="s">
        <v>8</v>
      </c>
      <c r="F175" s="1">
        <v>0.0</v>
      </c>
      <c r="G175" s="1">
        <v>0.0</v>
      </c>
      <c r="H175" s="1">
        <v>0.0</v>
      </c>
    </row>
    <row r="176">
      <c r="A176" s="2" t="s">
        <v>89</v>
      </c>
      <c r="B176" s="1" t="s">
        <v>90</v>
      </c>
      <c r="C176" s="1" t="s">
        <v>15</v>
      </c>
      <c r="D176" s="1" t="s">
        <v>13</v>
      </c>
      <c r="E176" s="1" t="s">
        <v>8</v>
      </c>
      <c r="F176" s="1">
        <v>0.0</v>
      </c>
      <c r="G176" s="1">
        <v>0.0</v>
      </c>
      <c r="H176" s="1">
        <v>0.0</v>
      </c>
    </row>
    <row r="177">
      <c r="A177" s="2" t="s">
        <v>89</v>
      </c>
      <c r="B177" s="1" t="s">
        <v>90</v>
      </c>
      <c r="C177" s="1" t="s">
        <v>16</v>
      </c>
      <c r="D177" s="1" t="s">
        <v>17</v>
      </c>
      <c r="E177" s="1" t="s">
        <v>8</v>
      </c>
      <c r="F177" s="1">
        <v>0.001</v>
      </c>
      <c r="G177" s="1">
        <v>0.0</v>
      </c>
      <c r="H177" s="1">
        <v>0.001</v>
      </c>
    </row>
    <row r="178">
      <c r="A178" s="2">
        <v>523.0</v>
      </c>
      <c r="B178" s="1" t="s">
        <v>91</v>
      </c>
      <c r="C178" s="1" t="s">
        <v>12</v>
      </c>
      <c r="D178" s="1" t="s">
        <v>13</v>
      </c>
      <c r="E178" s="1" t="s">
        <v>8</v>
      </c>
      <c r="F178" s="1">
        <v>0.101</v>
      </c>
      <c r="G178" s="1">
        <v>0.0</v>
      </c>
      <c r="H178" s="1">
        <v>0.101</v>
      </c>
    </row>
    <row r="179">
      <c r="A179" s="2">
        <v>523.0</v>
      </c>
      <c r="B179" s="1" t="s">
        <v>91</v>
      </c>
      <c r="C179" s="1" t="s">
        <v>14</v>
      </c>
      <c r="D179" s="1" t="s">
        <v>13</v>
      </c>
      <c r="E179" s="1" t="s">
        <v>8</v>
      </c>
      <c r="F179" s="1">
        <v>0.0</v>
      </c>
      <c r="G179" s="1">
        <v>0.0</v>
      </c>
      <c r="H179" s="1">
        <v>0.0</v>
      </c>
    </row>
    <row r="180">
      <c r="A180" s="2">
        <v>523.0</v>
      </c>
      <c r="B180" s="1" t="s">
        <v>91</v>
      </c>
      <c r="C180" s="1" t="s">
        <v>15</v>
      </c>
      <c r="D180" s="1" t="s">
        <v>13</v>
      </c>
      <c r="E180" s="1" t="s">
        <v>8</v>
      </c>
      <c r="F180" s="1">
        <v>0.0</v>
      </c>
      <c r="G180" s="1">
        <v>0.0</v>
      </c>
      <c r="H180" s="1">
        <v>0.0</v>
      </c>
    </row>
    <row r="181">
      <c r="A181" s="2">
        <v>523.0</v>
      </c>
      <c r="B181" s="1" t="s">
        <v>91</v>
      </c>
      <c r="C181" s="1" t="s">
        <v>16</v>
      </c>
      <c r="D181" s="1" t="s">
        <v>17</v>
      </c>
      <c r="E181" s="1" t="s">
        <v>8</v>
      </c>
      <c r="F181" s="1">
        <v>0.002</v>
      </c>
      <c r="G181" s="1">
        <v>0.0</v>
      </c>
      <c r="H181" s="1">
        <v>0.002</v>
      </c>
    </row>
    <row r="182">
      <c r="A182" s="2">
        <v>524.0</v>
      </c>
      <c r="B182" s="1" t="s">
        <v>92</v>
      </c>
      <c r="C182" s="1" t="s">
        <v>12</v>
      </c>
      <c r="D182" s="1" t="s">
        <v>13</v>
      </c>
      <c r="E182" s="1" t="s">
        <v>8</v>
      </c>
      <c r="F182" s="1">
        <v>0.042</v>
      </c>
      <c r="G182" s="1">
        <v>0.0</v>
      </c>
      <c r="H182" s="1">
        <v>0.042</v>
      </c>
    </row>
    <row r="183">
      <c r="A183" s="2">
        <v>524.0</v>
      </c>
      <c r="B183" s="1" t="s">
        <v>92</v>
      </c>
      <c r="C183" s="1" t="s">
        <v>14</v>
      </c>
      <c r="D183" s="1" t="s">
        <v>13</v>
      </c>
      <c r="E183" s="1" t="s">
        <v>8</v>
      </c>
      <c r="F183" s="1">
        <v>0.0</v>
      </c>
      <c r="G183" s="1">
        <v>0.0</v>
      </c>
      <c r="H183" s="1">
        <v>0.0</v>
      </c>
    </row>
    <row r="184">
      <c r="A184" s="2">
        <v>524.0</v>
      </c>
      <c r="B184" s="1" t="s">
        <v>92</v>
      </c>
      <c r="C184" s="1" t="s">
        <v>15</v>
      </c>
      <c r="D184" s="1" t="s">
        <v>13</v>
      </c>
      <c r="E184" s="1" t="s">
        <v>8</v>
      </c>
      <c r="F184" s="1">
        <v>0.0</v>
      </c>
      <c r="G184" s="1">
        <v>0.0</v>
      </c>
      <c r="H184" s="1">
        <v>0.0</v>
      </c>
    </row>
    <row r="185">
      <c r="A185" s="2">
        <v>524.0</v>
      </c>
      <c r="B185" s="1" t="s">
        <v>92</v>
      </c>
      <c r="C185" s="1" t="s">
        <v>16</v>
      </c>
      <c r="D185" s="1" t="s">
        <v>17</v>
      </c>
      <c r="E185" s="1" t="s">
        <v>8</v>
      </c>
      <c r="F185" s="1">
        <v>0.001</v>
      </c>
      <c r="G185" s="1">
        <v>0.0</v>
      </c>
      <c r="H185" s="1">
        <v>0.001</v>
      </c>
    </row>
    <row r="186">
      <c r="A186" s="2">
        <v>525.0</v>
      </c>
      <c r="B186" s="1" t="s">
        <v>93</v>
      </c>
      <c r="C186" s="1" t="s">
        <v>12</v>
      </c>
      <c r="D186" s="1" t="s">
        <v>13</v>
      </c>
      <c r="E186" s="1" t="s">
        <v>8</v>
      </c>
      <c r="F186" s="1">
        <v>0.182</v>
      </c>
      <c r="G186" s="1">
        <v>0.0</v>
      </c>
      <c r="H186" s="1">
        <v>0.182</v>
      </c>
    </row>
    <row r="187">
      <c r="A187" s="2">
        <v>525.0</v>
      </c>
      <c r="B187" s="1" t="s">
        <v>93</v>
      </c>
      <c r="C187" s="1" t="s">
        <v>14</v>
      </c>
      <c r="D187" s="1" t="s">
        <v>13</v>
      </c>
      <c r="E187" s="1" t="s">
        <v>8</v>
      </c>
      <c r="F187" s="1">
        <v>0.001</v>
      </c>
      <c r="G187" s="1">
        <v>0.0</v>
      </c>
      <c r="H187" s="1">
        <v>0.001</v>
      </c>
    </row>
    <row r="188">
      <c r="A188" s="2">
        <v>525.0</v>
      </c>
      <c r="B188" s="1" t="s">
        <v>93</v>
      </c>
      <c r="C188" s="1" t="s">
        <v>15</v>
      </c>
      <c r="D188" s="1" t="s">
        <v>13</v>
      </c>
      <c r="E188" s="1" t="s">
        <v>8</v>
      </c>
      <c r="F188" s="1">
        <v>0.0</v>
      </c>
      <c r="G188" s="1">
        <v>0.0</v>
      </c>
      <c r="H188" s="1">
        <v>0.0</v>
      </c>
    </row>
    <row r="189">
      <c r="A189" s="2">
        <v>525.0</v>
      </c>
      <c r="B189" s="1" t="s">
        <v>93</v>
      </c>
      <c r="C189" s="1" t="s">
        <v>16</v>
      </c>
      <c r="D189" s="1" t="s">
        <v>17</v>
      </c>
      <c r="E189" s="1" t="s">
        <v>8</v>
      </c>
      <c r="F189" s="1">
        <v>0.002</v>
      </c>
      <c r="G189" s="1">
        <v>0.0</v>
      </c>
      <c r="H189" s="1">
        <v>0.002</v>
      </c>
    </row>
    <row r="190">
      <c r="A190" s="2" t="s">
        <v>94</v>
      </c>
      <c r="B190" s="1" t="s">
        <v>95</v>
      </c>
      <c r="C190" s="1" t="s">
        <v>12</v>
      </c>
      <c r="D190" s="1" t="s">
        <v>13</v>
      </c>
      <c r="E190" s="1" t="s">
        <v>8</v>
      </c>
      <c r="F190" s="1">
        <v>0.09</v>
      </c>
      <c r="G190" s="1">
        <v>0.0</v>
      </c>
      <c r="H190" s="1">
        <v>0.09</v>
      </c>
    </row>
    <row r="191">
      <c r="A191" s="2" t="s">
        <v>94</v>
      </c>
      <c r="B191" s="1" t="s">
        <v>95</v>
      </c>
      <c r="C191" s="1" t="s">
        <v>14</v>
      </c>
      <c r="D191" s="1" t="s">
        <v>13</v>
      </c>
      <c r="E191" s="1" t="s">
        <v>8</v>
      </c>
      <c r="F191" s="1">
        <v>0.0</v>
      </c>
      <c r="G191" s="1">
        <v>0.0</v>
      </c>
      <c r="H191" s="1">
        <v>0.0</v>
      </c>
    </row>
    <row r="192">
      <c r="A192" s="2" t="s">
        <v>94</v>
      </c>
      <c r="B192" s="1" t="s">
        <v>95</v>
      </c>
      <c r="C192" s="1" t="s">
        <v>15</v>
      </c>
      <c r="D192" s="1" t="s">
        <v>13</v>
      </c>
      <c r="E192" s="1" t="s">
        <v>8</v>
      </c>
      <c r="F192" s="1">
        <v>0.0</v>
      </c>
      <c r="G192" s="1">
        <v>0.0</v>
      </c>
      <c r="H192" s="1">
        <v>0.0</v>
      </c>
    </row>
    <row r="193">
      <c r="A193" s="2" t="s">
        <v>94</v>
      </c>
      <c r="B193" s="1" t="s">
        <v>95</v>
      </c>
      <c r="C193" s="1" t="s">
        <v>16</v>
      </c>
      <c r="D193" s="1" t="s">
        <v>17</v>
      </c>
      <c r="E193" s="1" t="s">
        <v>8</v>
      </c>
      <c r="F193" s="1">
        <v>0.003</v>
      </c>
      <c r="G193" s="1">
        <v>0.0</v>
      </c>
      <c r="H193" s="1">
        <v>0.003</v>
      </c>
    </row>
    <row r="194">
      <c r="A194" s="2">
        <v>5411.0</v>
      </c>
      <c r="B194" s="1" t="s">
        <v>96</v>
      </c>
      <c r="C194" s="1" t="s">
        <v>12</v>
      </c>
      <c r="D194" s="1" t="s">
        <v>13</v>
      </c>
      <c r="E194" s="1" t="s">
        <v>8</v>
      </c>
      <c r="F194" s="1">
        <v>0.058</v>
      </c>
      <c r="G194" s="1">
        <v>0.0</v>
      </c>
      <c r="H194" s="1">
        <v>0.058</v>
      </c>
    </row>
    <row r="195">
      <c r="A195" s="2">
        <v>5411.0</v>
      </c>
      <c r="B195" s="1" t="s">
        <v>96</v>
      </c>
      <c r="C195" s="1" t="s">
        <v>14</v>
      </c>
      <c r="D195" s="1" t="s">
        <v>13</v>
      </c>
      <c r="E195" s="1" t="s">
        <v>8</v>
      </c>
      <c r="F195" s="1">
        <v>0.0</v>
      </c>
      <c r="G195" s="1">
        <v>0.0</v>
      </c>
      <c r="H195" s="1">
        <v>0.0</v>
      </c>
    </row>
    <row r="196">
      <c r="A196" s="2">
        <v>5411.0</v>
      </c>
      <c r="B196" s="1" t="s">
        <v>96</v>
      </c>
      <c r="C196" s="1" t="s">
        <v>15</v>
      </c>
      <c r="D196" s="1" t="s">
        <v>13</v>
      </c>
      <c r="E196" s="1" t="s">
        <v>8</v>
      </c>
      <c r="F196" s="1">
        <v>0.0</v>
      </c>
      <c r="G196" s="1">
        <v>0.0</v>
      </c>
      <c r="H196" s="1">
        <v>0.0</v>
      </c>
    </row>
    <row r="197">
      <c r="A197" s="2">
        <v>5411.0</v>
      </c>
      <c r="B197" s="1" t="s">
        <v>96</v>
      </c>
      <c r="C197" s="1" t="s">
        <v>16</v>
      </c>
      <c r="D197" s="1" t="s">
        <v>17</v>
      </c>
      <c r="E197" s="1" t="s">
        <v>8</v>
      </c>
      <c r="F197" s="1">
        <v>0.001</v>
      </c>
      <c r="G197" s="1">
        <v>0.0</v>
      </c>
      <c r="H197" s="1">
        <v>0.001</v>
      </c>
    </row>
    <row r="198">
      <c r="A198" s="2" t="s">
        <v>97</v>
      </c>
      <c r="B198" s="1" t="s">
        <v>98</v>
      </c>
      <c r="C198" s="1" t="s">
        <v>12</v>
      </c>
      <c r="D198" s="1" t="s">
        <v>13</v>
      </c>
      <c r="E198" s="1" t="s">
        <v>8</v>
      </c>
      <c r="F198" s="1">
        <v>0.109</v>
      </c>
      <c r="G198" s="1">
        <v>0.0</v>
      </c>
      <c r="H198" s="1">
        <v>0.109</v>
      </c>
    </row>
    <row r="199">
      <c r="A199" s="2" t="s">
        <v>97</v>
      </c>
      <c r="B199" s="1" t="s">
        <v>98</v>
      </c>
      <c r="C199" s="1" t="s">
        <v>14</v>
      </c>
      <c r="D199" s="1" t="s">
        <v>13</v>
      </c>
      <c r="E199" s="1" t="s">
        <v>8</v>
      </c>
      <c r="F199" s="1">
        <v>0.001</v>
      </c>
      <c r="G199" s="1">
        <v>0.0</v>
      </c>
      <c r="H199" s="1">
        <v>0.001</v>
      </c>
    </row>
    <row r="200">
      <c r="A200" s="2" t="s">
        <v>97</v>
      </c>
      <c r="B200" s="1" t="s">
        <v>98</v>
      </c>
      <c r="C200" s="1" t="s">
        <v>15</v>
      </c>
      <c r="D200" s="1" t="s">
        <v>13</v>
      </c>
      <c r="E200" s="1" t="s">
        <v>8</v>
      </c>
      <c r="F200" s="1">
        <v>0.0</v>
      </c>
      <c r="G200" s="1">
        <v>0.0</v>
      </c>
      <c r="H200" s="1">
        <v>0.0</v>
      </c>
    </row>
    <row r="201">
      <c r="A201" s="2" t="s">
        <v>97</v>
      </c>
      <c r="B201" s="1" t="s">
        <v>98</v>
      </c>
      <c r="C201" s="1" t="s">
        <v>16</v>
      </c>
      <c r="D201" s="1" t="s">
        <v>17</v>
      </c>
      <c r="E201" s="1" t="s">
        <v>8</v>
      </c>
      <c r="F201" s="1">
        <v>0.004</v>
      </c>
      <c r="G201" s="1">
        <v>0.0</v>
      </c>
      <c r="H201" s="1">
        <v>0.004</v>
      </c>
    </row>
    <row r="202">
      <c r="A202" s="2">
        <v>5415.0</v>
      </c>
      <c r="B202" s="1" t="s">
        <v>99</v>
      </c>
      <c r="C202" s="1" t="s">
        <v>12</v>
      </c>
      <c r="D202" s="1" t="s">
        <v>13</v>
      </c>
      <c r="E202" s="1" t="s">
        <v>8</v>
      </c>
      <c r="F202" s="1">
        <v>0.06</v>
      </c>
      <c r="G202" s="1">
        <v>0.0</v>
      </c>
      <c r="H202" s="1">
        <v>0.06</v>
      </c>
    </row>
    <row r="203">
      <c r="A203" s="2">
        <v>5415.0</v>
      </c>
      <c r="B203" s="1" t="s">
        <v>99</v>
      </c>
      <c r="C203" s="1" t="s">
        <v>14</v>
      </c>
      <c r="D203" s="1" t="s">
        <v>13</v>
      </c>
      <c r="E203" s="1" t="s">
        <v>8</v>
      </c>
      <c r="F203" s="1">
        <v>0.0</v>
      </c>
      <c r="G203" s="1">
        <v>0.0</v>
      </c>
      <c r="H203" s="1">
        <v>0.0</v>
      </c>
    </row>
    <row r="204">
      <c r="A204" s="2">
        <v>5415.0</v>
      </c>
      <c r="B204" s="1" t="s">
        <v>99</v>
      </c>
      <c r="C204" s="1" t="s">
        <v>15</v>
      </c>
      <c r="D204" s="1" t="s">
        <v>13</v>
      </c>
      <c r="E204" s="1" t="s">
        <v>8</v>
      </c>
      <c r="F204" s="1">
        <v>0.0</v>
      </c>
      <c r="G204" s="1">
        <v>0.0</v>
      </c>
      <c r="H204" s="1">
        <v>0.0</v>
      </c>
    </row>
    <row r="205">
      <c r="A205" s="2">
        <v>5415.0</v>
      </c>
      <c r="B205" s="1" t="s">
        <v>99</v>
      </c>
      <c r="C205" s="1" t="s">
        <v>16</v>
      </c>
      <c r="D205" s="1" t="s">
        <v>17</v>
      </c>
      <c r="E205" s="1" t="s">
        <v>8</v>
      </c>
      <c r="F205" s="1">
        <v>0.004</v>
      </c>
      <c r="G205" s="1">
        <v>0.0</v>
      </c>
      <c r="H205" s="1">
        <v>0.004</v>
      </c>
    </row>
    <row r="206">
      <c r="A206" s="2">
        <v>55.0</v>
      </c>
      <c r="B206" s="1" t="s">
        <v>100</v>
      </c>
      <c r="C206" s="1" t="s">
        <v>12</v>
      </c>
      <c r="D206" s="1" t="s">
        <v>13</v>
      </c>
      <c r="E206" s="1" t="s">
        <v>8</v>
      </c>
      <c r="F206" s="1">
        <v>0.102</v>
      </c>
      <c r="G206" s="1">
        <v>0.0</v>
      </c>
      <c r="H206" s="1">
        <v>0.102</v>
      </c>
    </row>
    <row r="207">
      <c r="A207" s="2">
        <v>55.0</v>
      </c>
      <c r="B207" s="1" t="s">
        <v>100</v>
      </c>
      <c r="C207" s="1" t="s">
        <v>14</v>
      </c>
      <c r="D207" s="1" t="s">
        <v>13</v>
      </c>
      <c r="E207" s="1" t="s">
        <v>8</v>
      </c>
      <c r="F207" s="1">
        <v>0.0</v>
      </c>
      <c r="G207" s="1">
        <v>0.0</v>
      </c>
      <c r="H207" s="1">
        <v>0.0</v>
      </c>
    </row>
    <row r="208">
      <c r="A208" s="2">
        <v>55.0</v>
      </c>
      <c r="B208" s="1" t="s">
        <v>100</v>
      </c>
      <c r="C208" s="1" t="s">
        <v>15</v>
      </c>
      <c r="D208" s="1" t="s">
        <v>13</v>
      </c>
      <c r="E208" s="1" t="s">
        <v>8</v>
      </c>
      <c r="F208" s="1">
        <v>0.0</v>
      </c>
      <c r="G208" s="1">
        <v>0.0</v>
      </c>
      <c r="H208" s="1">
        <v>0.0</v>
      </c>
    </row>
    <row r="209">
      <c r="A209" s="2">
        <v>55.0</v>
      </c>
      <c r="B209" s="1" t="s">
        <v>100</v>
      </c>
      <c r="C209" s="1" t="s">
        <v>16</v>
      </c>
      <c r="D209" s="1" t="s">
        <v>17</v>
      </c>
      <c r="E209" s="1" t="s">
        <v>8</v>
      </c>
      <c r="F209" s="1">
        <v>0.002</v>
      </c>
      <c r="G209" s="1">
        <v>0.0</v>
      </c>
      <c r="H209" s="1">
        <v>0.002</v>
      </c>
    </row>
    <row r="210">
      <c r="A210" s="2">
        <v>561.0</v>
      </c>
      <c r="B210" s="1" t="s">
        <v>101</v>
      </c>
      <c r="C210" s="1" t="s">
        <v>12</v>
      </c>
      <c r="D210" s="1" t="s">
        <v>13</v>
      </c>
      <c r="E210" s="1" t="s">
        <v>8</v>
      </c>
      <c r="F210" s="1">
        <v>0.088</v>
      </c>
      <c r="G210" s="1">
        <v>0.0</v>
      </c>
      <c r="H210" s="1">
        <v>0.088</v>
      </c>
    </row>
    <row r="211">
      <c r="A211" s="2">
        <v>561.0</v>
      </c>
      <c r="B211" s="1" t="s">
        <v>101</v>
      </c>
      <c r="C211" s="1" t="s">
        <v>14</v>
      </c>
      <c r="D211" s="1" t="s">
        <v>13</v>
      </c>
      <c r="E211" s="1" t="s">
        <v>8</v>
      </c>
      <c r="F211" s="1">
        <v>0.001</v>
      </c>
      <c r="G211" s="1">
        <v>0.0</v>
      </c>
      <c r="H211" s="1">
        <v>0.001</v>
      </c>
    </row>
    <row r="212">
      <c r="A212" s="2">
        <v>561.0</v>
      </c>
      <c r="B212" s="1" t="s">
        <v>101</v>
      </c>
      <c r="C212" s="1" t="s">
        <v>15</v>
      </c>
      <c r="D212" s="1" t="s">
        <v>13</v>
      </c>
      <c r="E212" s="1" t="s">
        <v>8</v>
      </c>
      <c r="F212" s="1">
        <v>0.0</v>
      </c>
      <c r="G212" s="1">
        <v>0.0</v>
      </c>
      <c r="H212" s="1">
        <v>0.0</v>
      </c>
    </row>
    <row r="213">
      <c r="A213" s="2">
        <v>561.0</v>
      </c>
      <c r="B213" s="1" t="s">
        <v>101</v>
      </c>
      <c r="C213" s="1" t="s">
        <v>16</v>
      </c>
      <c r="D213" s="1" t="s">
        <v>17</v>
      </c>
      <c r="E213" s="1" t="s">
        <v>8</v>
      </c>
      <c r="F213" s="1">
        <v>0.004</v>
      </c>
      <c r="G213" s="1">
        <v>0.0</v>
      </c>
      <c r="H213" s="1">
        <v>0.004</v>
      </c>
    </row>
    <row r="214">
      <c r="A214" s="2">
        <v>562.0</v>
      </c>
      <c r="B214" s="1" t="s">
        <v>102</v>
      </c>
      <c r="C214" s="1" t="s">
        <v>12</v>
      </c>
      <c r="D214" s="1" t="s">
        <v>13</v>
      </c>
      <c r="E214" s="1" t="s">
        <v>8</v>
      </c>
      <c r="F214" s="1">
        <v>0.274</v>
      </c>
      <c r="G214" s="1">
        <v>0.0</v>
      </c>
      <c r="H214" s="1">
        <v>0.274</v>
      </c>
    </row>
    <row r="215">
      <c r="A215" s="2">
        <v>562.0</v>
      </c>
      <c r="B215" s="1" t="s">
        <v>102</v>
      </c>
      <c r="C215" s="1" t="s">
        <v>14</v>
      </c>
      <c r="D215" s="1" t="s">
        <v>13</v>
      </c>
      <c r="E215" s="1" t="s">
        <v>8</v>
      </c>
      <c r="F215" s="1">
        <v>0.044</v>
      </c>
      <c r="G215" s="1">
        <v>0.0</v>
      </c>
      <c r="H215" s="1">
        <v>0.044</v>
      </c>
    </row>
    <row r="216">
      <c r="A216" s="2">
        <v>562.0</v>
      </c>
      <c r="B216" s="1" t="s">
        <v>102</v>
      </c>
      <c r="C216" s="1" t="s">
        <v>15</v>
      </c>
      <c r="D216" s="1" t="s">
        <v>13</v>
      </c>
      <c r="E216" s="1" t="s">
        <v>8</v>
      </c>
      <c r="F216" s="1">
        <v>0.0</v>
      </c>
      <c r="G216" s="1">
        <v>0.0</v>
      </c>
      <c r="H216" s="1">
        <v>0.0</v>
      </c>
    </row>
    <row r="217">
      <c r="A217" s="2">
        <v>562.0</v>
      </c>
      <c r="B217" s="1" t="s">
        <v>102</v>
      </c>
      <c r="C217" s="1" t="s">
        <v>16</v>
      </c>
      <c r="D217" s="1" t="s">
        <v>17</v>
      </c>
      <c r="E217" s="1" t="s">
        <v>8</v>
      </c>
      <c r="F217" s="1">
        <v>0.013</v>
      </c>
      <c r="G217" s="1">
        <v>0.0</v>
      </c>
      <c r="H217" s="1">
        <v>0.013</v>
      </c>
    </row>
    <row r="218">
      <c r="A218" s="2">
        <v>61.0</v>
      </c>
      <c r="B218" s="1" t="s">
        <v>103</v>
      </c>
      <c r="C218" s="1" t="s">
        <v>12</v>
      </c>
      <c r="D218" s="1" t="s">
        <v>13</v>
      </c>
      <c r="E218" s="1" t="s">
        <v>8</v>
      </c>
      <c r="F218" s="1">
        <v>0.176</v>
      </c>
      <c r="G218" s="1">
        <v>0.0</v>
      </c>
      <c r="H218" s="1">
        <v>0.176</v>
      </c>
    </row>
    <row r="219">
      <c r="A219" s="2">
        <v>61.0</v>
      </c>
      <c r="B219" s="1" t="s">
        <v>103</v>
      </c>
      <c r="C219" s="1" t="s">
        <v>14</v>
      </c>
      <c r="D219" s="1" t="s">
        <v>13</v>
      </c>
      <c r="E219" s="1" t="s">
        <v>8</v>
      </c>
      <c r="F219" s="1">
        <v>0.001</v>
      </c>
      <c r="G219" s="1">
        <v>0.0</v>
      </c>
      <c r="H219" s="1">
        <v>0.001</v>
      </c>
    </row>
    <row r="220">
      <c r="A220" s="2">
        <v>61.0</v>
      </c>
      <c r="B220" s="1" t="s">
        <v>103</v>
      </c>
      <c r="C220" s="1" t="s">
        <v>15</v>
      </c>
      <c r="D220" s="1" t="s">
        <v>13</v>
      </c>
      <c r="E220" s="1" t="s">
        <v>8</v>
      </c>
      <c r="F220" s="1">
        <v>0.0</v>
      </c>
      <c r="G220" s="1">
        <v>0.0</v>
      </c>
      <c r="H220" s="1">
        <v>0.0</v>
      </c>
    </row>
    <row r="221">
      <c r="A221" s="2">
        <v>61.0</v>
      </c>
      <c r="B221" s="1" t="s">
        <v>103</v>
      </c>
      <c r="C221" s="1" t="s">
        <v>16</v>
      </c>
      <c r="D221" s="1" t="s">
        <v>17</v>
      </c>
      <c r="E221" s="1" t="s">
        <v>8</v>
      </c>
      <c r="F221" s="1">
        <v>0.003</v>
      </c>
      <c r="G221" s="1">
        <v>0.0</v>
      </c>
      <c r="H221" s="1">
        <v>0.003</v>
      </c>
    </row>
    <row r="222">
      <c r="A222" s="2">
        <v>621.0</v>
      </c>
      <c r="B222" s="1" t="s">
        <v>104</v>
      </c>
      <c r="C222" s="1" t="s">
        <v>12</v>
      </c>
      <c r="D222" s="1" t="s">
        <v>13</v>
      </c>
      <c r="E222" s="1" t="s">
        <v>8</v>
      </c>
      <c r="F222" s="1">
        <v>0.088</v>
      </c>
      <c r="G222" s="1">
        <v>0.0</v>
      </c>
      <c r="H222" s="1">
        <v>0.088</v>
      </c>
    </row>
    <row r="223">
      <c r="A223" s="2">
        <v>621.0</v>
      </c>
      <c r="B223" s="1" t="s">
        <v>104</v>
      </c>
      <c r="C223" s="1" t="s">
        <v>14</v>
      </c>
      <c r="D223" s="1" t="s">
        <v>13</v>
      </c>
      <c r="E223" s="1" t="s">
        <v>8</v>
      </c>
      <c r="F223" s="1">
        <v>0.0</v>
      </c>
      <c r="G223" s="1">
        <v>0.0</v>
      </c>
      <c r="H223" s="1">
        <v>0.0</v>
      </c>
    </row>
    <row r="224">
      <c r="A224" s="2">
        <v>621.0</v>
      </c>
      <c r="B224" s="1" t="s">
        <v>104</v>
      </c>
      <c r="C224" s="1" t="s">
        <v>15</v>
      </c>
      <c r="D224" s="1" t="s">
        <v>13</v>
      </c>
      <c r="E224" s="1" t="s">
        <v>8</v>
      </c>
      <c r="F224" s="1">
        <v>0.0</v>
      </c>
      <c r="G224" s="1">
        <v>0.0</v>
      </c>
      <c r="H224" s="1">
        <v>0.0</v>
      </c>
    </row>
    <row r="225">
      <c r="A225" s="2">
        <v>621.0</v>
      </c>
      <c r="B225" s="1" t="s">
        <v>104</v>
      </c>
      <c r="C225" s="1" t="s">
        <v>16</v>
      </c>
      <c r="D225" s="1" t="s">
        <v>17</v>
      </c>
      <c r="E225" s="1" t="s">
        <v>8</v>
      </c>
      <c r="F225" s="1">
        <v>0.003</v>
      </c>
      <c r="G225" s="1">
        <v>0.0</v>
      </c>
      <c r="H225" s="1">
        <v>0.003</v>
      </c>
    </row>
    <row r="226">
      <c r="A226" s="2">
        <v>622.0</v>
      </c>
      <c r="B226" s="1" t="s">
        <v>105</v>
      </c>
      <c r="G226" s="1">
        <v>0.0</v>
      </c>
      <c r="H226" s="1">
        <v>0.144</v>
      </c>
    </row>
    <row r="227">
      <c r="A227" s="2">
        <v>622.0</v>
      </c>
      <c r="B227" s="1" t="s">
        <v>106</v>
      </c>
      <c r="G227" s="1">
        <v>0.0</v>
      </c>
      <c r="H227" s="1">
        <v>0.001</v>
      </c>
    </row>
    <row r="228">
      <c r="A228" s="2">
        <v>622.0</v>
      </c>
      <c r="B228" s="1" t="s">
        <v>107</v>
      </c>
      <c r="G228" s="1">
        <v>0.0</v>
      </c>
      <c r="H228" s="1">
        <v>0.0</v>
      </c>
    </row>
    <row r="229">
      <c r="A229" s="2">
        <v>622.0</v>
      </c>
      <c r="B229" s="1" t="s">
        <v>108</v>
      </c>
      <c r="G229" s="1">
        <v>0.0</v>
      </c>
      <c r="H229" s="1">
        <v>0.003</v>
      </c>
    </row>
    <row r="230">
      <c r="A230" s="2">
        <v>623.0</v>
      </c>
      <c r="B230" s="1" t="s">
        <v>109</v>
      </c>
      <c r="G230" s="1">
        <v>0.0</v>
      </c>
      <c r="H230" s="1">
        <v>0.14</v>
      </c>
    </row>
    <row r="231">
      <c r="A231" s="2">
        <v>623.0</v>
      </c>
      <c r="B231" s="1" t="s">
        <v>110</v>
      </c>
      <c r="G231" s="1">
        <v>0.0</v>
      </c>
      <c r="H231" s="1">
        <v>0.001</v>
      </c>
    </row>
    <row r="232">
      <c r="A232" s="2">
        <v>623.0</v>
      </c>
      <c r="B232" s="1" t="s">
        <v>111</v>
      </c>
      <c r="G232" s="1">
        <v>0.0</v>
      </c>
      <c r="H232" s="1">
        <v>0.0</v>
      </c>
    </row>
    <row r="233">
      <c r="A233" s="2">
        <v>623.0</v>
      </c>
      <c r="B233" s="1" t="s">
        <v>112</v>
      </c>
      <c r="G233" s="1">
        <v>0.0</v>
      </c>
      <c r="H233" s="1">
        <v>0.005</v>
      </c>
    </row>
    <row r="234">
      <c r="A234" s="2">
        <v>624.0</v>
      </c>
      <c r="B234" s="1" t="s">
        <v>113</v>
      </c>
      <c r="G234" s="1">
        <v>0.0</v>
      </c>
      <c r="H234" s="1">
        <v>0.135</v>
      </c>
    </row>
    <row r="235">
      <c r="A235" s="2">
        <v>624.0</v>
      </c>
      <c r="B235" s="1" t="s">
        <v>114</v>
      </c>
      <c r="G235" s="1">
        <v>0.0</v>
      </c>
      <c r="H235" s="1">
        <v>0.001</v>
      </c>
    </row>
    <row r="236">
      <c r="A236" s="2">
        <v>624.0</v>
      </c>
      <c r="B236" s="1" t="s">
        <v>115</v>
      </c>
      <c r="G236" s="1">
        <v>0.0</v>
      </c>
      <c r="H236" s="1">
        <v>0.0</v>
      </c>
    </row>
    <row r="237">
      <c r="A237" s="2">
        <v>624.0</v>
      </c>
      <c r="B237" s="1" t="s">
        <v>116</v>
      </c>
      <c r="G237" s="1">
        <v>0.0</v>
      </c>
      <c r="H237" s="1">
        <v>0.004</v>
      </c>
    </row>
    <row r="238">
      <c r="A238" s="2" t="s">
        <v>117</v>
      </c>
      <c r="B238" s="1" t="s">
        <v>118</v>
      </c>
      <c r="C238" s="1" t="s">
        <v>12</v>
      </c>
      <c r="D238" s="1" t="s">
        <v>13</v>
      </c>
      <c r="E238" s="1" t="s">
        <v>8</v>
      </c>
      <c r="F238" s="1">
        <v>0.073</v>
      </c>
      <c r="G238" s="1">
        <v>0.0</v>
      </c>
      <c r="H238" s="1">
        <v>0.073</v>
      </c>
    </row>
    <row r="239">
      <c r="A239" s="2" t="s">
        <v>117</v>
      </c>
      <c r="B239" s="1" t="s">
        <v>118</v>
      </c>
      <c r="C239" s="1" t="s">
        <v>14</v>
      </c>
      <c r="D239" s="1" t="s">
        <v>13</v>
      </c>
      <c r="E239" s="1" t="s">
        <v>8</v>
      </c>
      <c r="F239" s="1">
        <v>0.0</v>
      </c>
      <c r="G239" s="1">
        <v>0.0</v>
      </c>
      <c r="H239" s="1">
        <v>0.0</v>
      </c>
    </row>
    <row r="240">
      <c r="A240" s="2" t="s">
        <v>117</v>
      </c>
      <c r="B240" s="1" t="s">
        <v>118</v>
      </c>
      <c r="C240" s="1" t="s">
        <v>15</v>
      </c>
      <c r="D240" s="1" t="s">
        <v>13</v>
      </c>
      <c r="E240" s="1" t="s">
        <v>8</v>
      </c>
      <c r="F240" s="1">
        <v>0.0</v>
      </c>
      <c r="G240" s="1">
        <v>0.0</v>
      </c>
      <c r="H240" s="1">
        <v>0.0</v>
      </c>
    </row>
    <row r="241">
      <c r="A241" s="2" t="s">
        <v>117</v>
      </c>
      <c r="B241" s="1" t="s">
        <v>118</v>
      </c>
      <c r="C241" s="1" t="s">
        <v>16</v>
      </c>
      <c r="D241" s="1" t="s">
        <v>17</v>
      </c>
      <c r="E241" s="1" t="s">
        <v>8</v>
      </c>
      <c r="F241" s="1">
        <v>0.001</v>
      </c>
      <c r="G241" s="1">
        <v>0.0</v>
      </c>
      <c r="H241" s="1">
        <v>0.001</v>
      </c>
    </row>
    <row r="242">
      <c r="A242" s="2">
        <v>713.0</v>
      </c>
      <c r="B242" s="1" t="s">
        <v>119</v>
      </c>
      <c r="C242" s="1" t="s">
        <v>12</v>
      </c>
      <c r="D242" s="1" t="s">
        <v>13</v>
      </c>
      <c r="E242" s="1" t="s">
        <v>8</v>
      </c>
      <c r="F242" s="1">
        <v>0.326</v>
      </c>
      <c r="G242" s="1">
        <v>0.0</v>
      </c>
      <c r="H242" s="1">
        <v>0.326</v>
      </c>
    </row>
    <row r="243">
      <c r="A243" s="2">
        <v>713.0</v>
      </c>
      <c r="B243" s="1" t="s">
        <v>119</v>
      </c>
      <c r="C243" s="1" t="s">
        <v>14</v>
      </c>
      <c r="D243" s="1" t="s">
        <v>13</v>
      </c>
      <c r="E243" s="1" t="s">
        <v>8</v>
      </c>
      <c r="F243" s="1">
        <v>0.002</v>
      </c>
      <c r="G243" s="1">
        <v>0.0</v>
      </c>
      <c r="H243" s="1">
        <v>0.002</v>
      </c>
    </row>
    <row r="244">
      <c r="A244" s="2">
        <v>713.0</v>
      </c>
      <c r="B244" s="1" t="s">
        <v>119</v>
      </c>
      <c r="C244" s="1" t="s">
        <v>15</v>
      </c>
      <c r="D244" s="1" t="s">
        <v>13</v>
      </c>
      <c r="E244" s="1" t="s">
        <v>8</v>
      </c>
      <c r="F244" s="1">
        <v>0.0</v>
      </c>
      <c r="G244" s="1">
        <v>0.0</v>
      </c>
      <c r="H244" s="1">
        <v>0.0</v>
      </c>
    </row>
    <row r="245">
      <c r="A245" s="2">
        <v>713.0</v>
      </c>
      <c r="B245" s="1" t="s">
        <v>119</v>
      </c>
      <c r="C245" s="1" t="s">
        <v>16</v>
      </c>
      <c r="D245" s="1" t="s">
        <v>17</v>
      </c>
      <c r="E245" s="1" t="s">
        <v>8</v>
      </c>
      <c r="F245" s="1">
        <v>0.004</v>
      </c>
      <c r="G245" s="1">
        <v>0.0</v>
      </c>
      <c r="H245" s="1">
        <v>0.004</v>
      </c>
    </row>
    <row r="246">
      <c r="A246" s="2">
        <v>721.0</v>
      </c>
      <c r="B246" s="1" t="s">
        <v>120</v>
      </c>
      <c r="C246" s="1" t="s">
        <v>12</v>
      </c>
      <c r="D246" s="1" t="s">
        <v>13</v>
      </c>
      <c r="E246" s="1" t="s">
        <v>8</v>
      </c>
      <c r="F246" s="1">
        <v>0.158</v>
      </c>
      <c r="G246" s="1">
        <v>0.0</v>
      </c>
      <c r="H246" s="1">
        <v>0.158</v>
      </c>
    </row>
    <row r="247">
      <c r="A247" s="2">
        <v>721.0</v>
      </c>
      <c r="B247" s="1" t="s">
        <v>120</v>
      </c>
      <c r="C247" s="1" t="s">
        <v>14</v>
      </c>
      <c r="D247" s="1" t="s">
        <v>13</v>
      </c>
      <c r="E247" s="1" t="s">
        <v>8</v>
      </c>
      <c r="F247" s="1">
        <v>0.001</v>
      </c>
      <c r="G247" s="1">
        <v>0.0</v>
      </c>
      <c r="H247" s="1">
        <v>0.001</v>
      </c>
    </row>
    <row r="248">
      <c r="A248" s="2">
        <v>721.0</v>
      </c>
      <c r="B248" s="1" t="s">
        <v>120</v>
      </c>
      <c r="C248" s="1" t="s">
        <v>15</v>
      </c>
      <c r="D248" s="1" t="s">
        <v>13</v>
      </c>
      <c r="E248" s="1" t="s">
        <v>8</v>
      </c>
      <c r="F248" s="1">
        <v>0.0</v>
      </c>
      <c r="G248" s="1">
        <v>0.0</v>
      </c>
      <c r="H248" s="1">
        <v>0.0</v>
      </c>
    </row>
    <row r="249">
      <c r="A249" s="2">
        <v>721.0</v>
      </c>
      <c r="B249" s="1" t="s">
        <v>120</v>
      </c>
      <c r="C249" s="1" t="s">
        <v>16</v>
      </c>
      <c r="D249" s="1" t="s">
        <v>17</v>
      </c>
      <c r="E249" s="1" t="s">
        <v>8</v>
      </c>
      <c r="F249" s="1">
        <v>0.002</v>
      </c>
      <c r="G249" s="1">
        <v>0.0</v>
      </c>
      <c r="H249" s="1">
        <v>0.002</v>
      </c>
    </row>
    <row r="250">
      <c r="A250" s="2">
        <v>722.0</v>
      </c>
      <c r="B250" s="1" t="s">
        <v>121</v>
      </c>
      <c r="C250" s="1" t="s">
        <v>12</v>
      </c>
      <c r="D250" s="1" t="s">
        <v>13</v>
      </c>
      <c r="E250" s="1" t="s">
        <v>8</v>
      </c>
      <c r="F250" s="1">
        <v>0.194</v>
      </c>
      <c r="G250" s="1">
        <v>0.0</v>
      </c>
      <c r="H250" s="1">
        <v>0.194</v>
      </c>
    </row>
    <row r="251">
      <c r="A251" s="2">
        <v>722.0</v>
      </c>
      <c r="B251" s="1" t="s">
        <v>121</v>
      </c>
      <c r="C251" s="1" t="s">
        <v>14</v>
      </c>
      <c r="D251" s="1" t="s">
        <v>13</v>
      </c>
      <c r="E251" s="1" t="s">
        <v>8</v>
      </c>
      <c r="F251" s="1">
        <v>0.001</v>
      </c>
      <c r="G251" s="1">
        <v>0.0</v>
      </c>
      <c r="H251" s="1">
        <v>0.001</v>
      </c>
    </row>
    <row r="252">
      <c r="A252" s="2">
        <v>722.0</v>
      </c>
      <c r="B252" s="1" t="s">
        <v>121</v>
      </c>
      <c r="C252" s="1" t="s">
        <v>15</v>
      </c>
      <c r="D252" s="1" t="s">
        <v>13</v>
      </c>
      <c r="E252" s="1" t="s">
        <v>8</v>
      </c>
      <c r="F252" s="1">
        <v>0.0</v>
      </c>
      <c r="G252" s="1">
        <v>0.0</v>
      </c>
      <c r="H252" s="1">
        <v>0.0</v>
      </c>
    </row>
    <row r="253">
      <c r="A253" s="2">
        <v>722.0</v>
      </c>
      <c r="B253" s="1" t="s">
        <v>121</v>
      </c>
      <c r="C253" s="1" t="s">
        <v>16</v>
      </c>
      <c r="D253" s="1" t="s">
        <v>17</v>
      </c>
      <c r="E253" s="1" t="s">
        <v>8</v>
      </c>
      <c r="F253" s="1">
        <v>0.006</v>
      </c>
      <c r="G253" s="1">
        <v>0.0</v>
      </c>
      <c r="H253" s="1">
        <v>0.006</v>
      </c>
    </row>
    <row r="254">
      <c r="A254" s="2">
        <v>81.0</v>
      </c>
      <c r="B254" s="1" t="s">
        <v>122</v>
      </c>
      <c r="C254" s="1" t="s">
        <v>12</v>
      </c>
      <c r="D254" s="1" t="s">
        <v>13</v>
      </c>
      <c r="E254" s="1" t="s">
        <v>8</v>
      </c>
      <c r="F254" s="1">
        <v>0.124</v>
      </c>
      <c r="G254" s="1">
        <v>0.0</v>
      </c>
      <c r="H254" s="1">
        <v>0.124</v>
      </c>
    </row>
    <row r="255">
      <c r="A255" s="2">
        <v>81.0</v>
      </c>
      <c r="B255" s="1" t="s">
        <v>122</v>
      </c>
      <c r="C255" s="1" t="s">
        <v>14</v>
      </c>
      <c r="D255" s="1" t="s">
        <v>13</v>
      </c>
      <c r="E255" s="1" t="s">
        <v>8</v>
      </c>
      <c r="F255" s="1">
        <v>0.001</v>
      </c>
      <c r="G255" s="1">
        <v>0.0</v>
      </c>
      <c r="H255" s="1">
        <v>0.001</v>
      </c>
    </row>
    <row r="256">
      <c r="A256" s="2">
        <v>81.0</v>
      </c>
      <c r="B256" s="1" t="s">
        <v>122</v>
      </c>
      <c r="C256" s="1" t="s">
        <v>15</v>
      </c>
      <c r="D256" s="1" t="s">
        <v>13</v>
      </c>
      <c r="E256" s="1" t="s">
        <v>8</v>
      </c>
      <c r="F256" s="1">
        <v>0.0</v>
      </c>
      <c r="G256" s="1">
        <v>0.0</v>
      </c>
      <c r="H256" s="1">
        <v>0.0</v>
      </c>
    </row>
    <row r="257">
      <c r="A257" s="2">
        <v>81.0</v>
      </c>
      <c r="B257" s="1" t="s">
        <v>122</v>
      </c>
      <c r="C257" s="1" t="s">
        <v>16</v>
      </c>
      <c r="D257" s="1" t="s">
        <v>17</v>
      </c>
      <c r="E257" s="1" t="s">
        <v>8</v>
      </c>
      <c r="F257" s="1">
        <v>0.004</v>
      </c>
      <c r="G257" s="1">
        <v>0.0</v>
      </c>
      <c r="H257" s="1">
        <v>0.004</v>
      </c>
    </row>
    <row r="258">
      <c r="A258" s="2" t="s">
        <v>123</v>
      </c>
      <c r="B258" s="1" t="s">
        <v>124</v>
      </c>
      <c r="C258" s="1" t="s">
        <v>12</v>
      </c>
      <c r="D258" s="1" t="s">
        <v>13</v>
      </c>
      <c r="E258" s="1" t="s">
        <v>8</v>
      </c>
      <c r="F258" s="1">
        <v>0.021</v>
      </c>
      <c r="G258" s="1">
        <v>0.0</v>
      </c>
      <c r="H258" s="1">
        <v>0.021</v>
      </c>
    </row>
    <row r="259">
      <c r="A259" s="2" t="s">
        <v>123</v>
      </c>
      <c r="B259" s="1" t="s">
        <v>124</v>
      </c>
      <c r="C259" s="1" t="s">
        <v>14</v>
      </c>
      <c r="D259" s="1" t="s">
        <v>13</v>
      </c>
      <c r="E259" s="1" t="s">
        <v>8</v>
      </c>
      <c r="F259" s="1">
        <v>0.0</v>
      </c>
      <c r="G259" s="1">
        <v>0.0</v>
      </c>
      <c r="H259" s="1">
        <v>0.0</v>
      </c>
    </row>
    <row r="260">
      <c r="A260" s="2" t="s">
        <v>123</v>
      </c>
      <c r="B260" s="1" t="s">
        <v>124</v>
      </c>
      <c r="C260" s="1" t="s">
        <v>15</v>
      </c>
      <c r="D260" s="1" t="s">
        <v>13</v>
      </c>
      <c r="E260" s="1" t="s">
        <v>8</v>
      </c>
      <c r="F260" s="1">
        <v>0.0</v>
      </c>
      <c r="G260" s="1">
        <v>0.0</v>
      </c>
      <c r="H260" s="1">
        <v>0.0</v>
      </c>
    </row>
    <row r="261">
      <c r="A261" s="2" t="s">
        <v>123</v>
      </c>
      <c r="B261" s="1" t="s">
        <v>124</v>
      </c>
      <c r="C261" s="1" t="s">
        <v>16</v>
      </c>
      <c r="D261" s="1" t="s">
        <v>17</v>
      </c>
      <c r="E261" s="1" t="s">
        <v>8</v>
      </c>
      <c r="F261" s="1">
        <v>0.001</v>
      </c>
      <c r="G261" s="1">
        <v>0.0</v>
      </c>
      <c r="H261" s="1">
        <v>0.001</v>
      </c>
    </row>
    <row r="262">
      <c r="A262" s="2" t="s">
        <v>125</v>
      </c>
      <c r="B262" s="1" t="s">
        <v>126</v>
      </c>
      <c r="C262" s="1" t="s">
        <v>12</v>
      </c>
      <c r="D262" s="1" t="s">
        <v>13</v>
      </c>
      <c r="E262" s="1" t="s">
        <v>8</v>
      </c>
      <c r="F262" s="1">
        <v>0.405</v>
      </c>
      <c r="G262" s="1">
        <v>0.0</v>
      </c>
      <c r="H262" s="1">
        <v>0.405</v>
      </c>
    </row>
    <row r="263">
      <c r="A263" s="2" t="s">
        <v>125</v>
      </c>
      <c r="B263" s="1" t="s">
        <v>126</v>
      </c>
      <c r="C263" s="1" t="s">
        <v>14</v>
      </c>
      <c r="D263" s="1" t="s">
        <v>13</v>
      </c>
      <c r="E263" s="1" t="s">
        <v>8</v>
      </c>
      <c r="F263" s="1">
        <v>0.001</v>
      </c>
      <c r="G263" s="1">
        <v>0.0</v>
      </c>
      <c r="H263" s="1">
        <v>0.001</v>
      </c>
    </row>
    <row r="264">
      <c r="A264" s="2" t="s">
        <v>125</v>
      </c>
      <c r="B264" s="1" t="s">
        <v>126</v>
      </c>
      <c r="C264" s="1" t="s">
        <v>15</v>
      </c>
      <c r="D264" s="1" t="s">
        <v>13</v>
      </c>
      <c r="E264" s="1" t="s">
        <v>8</v>
      </c>
      <c r="F264" s="1">
        <v>0.0</v>
      </c>
      <c r="G264" s="1">
        <v>0.0</v>
      </c>
      <c r="H264" s="1">
        <v>0.0</v>
      </c>
    </row>
    <row r="265">
      <c r="A265" s="2" t="s">
        <v>125</v>
      </c>
      <c r="B265" s="1" t="s">
        <v>126</v>
      </c>
      <c r="C265" s="1" t="s">
        <v>16</v>
      </c>
      <c r="D265" s="1" t="s">
        <v>17</v>
      </c>
      <c r="E265" s="1" t="s">
        <v>8</v>
      </c>
      <c r="F265" s="1">
        <v>0.004</v>
      </c>
      <c r="G265" s="1">
        <v>0.0</v>
      </c>
      <c r="H265" s="1">
        <v>0.004</v>
      </c>
    </row>
  </sheetData>
  <drawing r:id="rId1"/>
</worksheet>
</file>